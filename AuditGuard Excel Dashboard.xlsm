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D:\Projects\Big 4 Risk &amp; Compliance Insights\"/>
    </mc:Choice>
  </mc:AlternateContent>
  <bookViews>
    <workbookView xWindow="16740" yWindow="0" windowWidth="19560" windowHeight="8205"/>
  </bookViews>
  <sheets>
    <sheet name="Dashboard" sheetId="3" r:id="rId1"/>
    <sheet name="Pivot" sheetId="6" r:id="rId2"/>
    <sheet name="Recommendations" sheetId="7" r:id="rId3"/>
    <sheet name="ColumnDescription" sheetId="1" r:id="rId4"/>
    <sheet name="Data" sheetId="2" r:id="rId5"/>
  </sheets>
  <definedNames>
    <definedName name="_xlcn.LinkedTable_Data1" hidden="1">Data[]</definedName>
    <definedName name="Slicer_AI_Used_for_Auditing">#N/A</definedName>
    <definedName name="Slicer_Firm_Name">#N/A</definedName>
    <definedName name="Slicer_Industry_Affected1">#N/A</definedName>
    <definedName name="Slicer_Workload_Category">#N/A</definedName>
    <definedName name="Slicer_Year">#N/A</definedName>
  </definedNames>
  <calcPr calcId="162913"/>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s>
  <extLst>
    <ext xmlns:x14="http://schemas.microsoft.com/office/spreadsheetml/2009/9/main" uri="{876F7934-8845-4945-9796-88D515C7AA90}">
      <x14:pivotCaches>
        <pivotCache cacheId="10" r:id="rId16"/>
      </x14:pivotCaches>
    </ext>
    <ext xmlns:x14="http://schemas.microsoft.com/office/spreadsheetml/2009/9/main" uri="{BBE1A952-AA13-448e-AADC-164F8A28A991}">
      <x14:slicerCaches>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LinkedTable_Data"/>
        </x15:modelTables>
      </x15:dataModel>
    </ext>
  </extLst>
</workbook>
</file>

<file path=xl/calcChain.xml><?xml version="1.0" encoding="utf-8"?>
<calcChain xmlns="http://schemas.openxmlformats.org/spreadsheetml/2006/main">
  <c r="K2" i="2" l="1"/>
  <c r="K3" i="2" l="1"/>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alcChain>
</file>

<file path=xl/connections.xml><?xml version="1.0" encoding="utf-8"?>
<connections xmlns="http://schemas.openxmlformats.org/spreadsheetml/2006/main">
  <connection id="1" name="LinkedTable_Data" type="102" refreshedVersion="6" minRefreshableVersion="5">
    <extLst>
      <ext xmlns:x15="http://schemas.microsoft.com/office/spreadsheetml/2010/11/main" uri="{DE250136-89BD-433C-8126-D09CA5730AF9}">
        <x15:connection id="Data">
          <x15:rangePr sourceName="_xlcn.LinkedTable_Data1"/>
        </x15:connection>
      </ext>
    </extLst>
  </connection>
  <connection id="2"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<sst xmlns="http://schemas.openxmlformats.org/spreadsheetml/2006/main" count="395" uniqueCount="61">
  <si>
    <t>The estimated financial impact due to fraud or compliance issues (in Millions USD).</t>
  </si>
  <si>
    <t>Total_Revenue_Impact</t>
  </si>
  <si>
    <t>Satisfaction scores provided by clients who contracted the auditing services from the Big 4 Firms</t>
  </si>
  <si>
    <t>Client_Satisfaction_Score</t>
  </si>
  <si>
    <t>Audit Effectiveness Score for Employees from the Big 4 Auditing Firms</t>
  </si>
  <si>
    <t>Audit_Effectiveness_Score</t>
  </si>
  <si>
    <t>The average hours worked per week by auditors.</t>
  </si>
  <si>
    <t>Employee_Workload</t>
  </si>
  <si>
    <t>The number of fraud cases uncovered during audits.</t>
  </si>
  <si>
    <t>Fraud_Cases_Detected</t>
  </si>
  <si>
    <t>The number of regulatory breaches detected.</t>
  </si>
  <si>
    <t>Compliance_Violations</t>
  </si>
  <si>
    <t>Number of audits flagged as high-risk due to compliance concerns.</t>
  </si>
  <si>
    <t>High_Risk_Cases</t>
  </si>
  <si>
    <t>Number of audit engagements handled by the firm.</t>
  </si>
  <si>
    <t>Total_Audit_Engagements</t>
  </si>
  <si>
    <t>AI_Used_for_Auditing</t>
  </si>
  <si>
    <t>Industry_Affected</t>
  </si>
  <si>
    <t>Firm_Name</t>
  </si>
  <si>
    <t xml:space="preserve">Year </t>
  </si>
  <si>
    <t>Description</t>
  </si>
  <si>
    <t>Column Name</t>
  </si>
  <si>
    <t>Index</t>
  </si>
  <si>
    <t>Year</t>
  </si>
  <si>
    <t>PwC</t>
  </si>
  <si>
    <t>Healthcare</t>
  </si>
  <si>
    <t>No</t>
  </si>
  <si>
    <t>Deloitte</t>
  </si>
  <si>
    <t>Yes</t>
  </si>
  <si>
    <t>Finance</t>
  </si>
  <si>
    <t>Retail</t>
  </si>
  <si>
    <t>Tech</t>
  </si>
  <si>
    <t>Ernst &amp; Young</t>
  </si>
  <si>
    <t>KPMG</t>
  </si>
  <si>
    <t>Row Labels</t>
  </si>
  <si>
    <t>Count of AI_Used_for_Auditing</t>
  </si>
  <si>
    <t>Sum of Compliance_Violations</t>
  </si>
  <si>
    <t>Workload_Category</t>
  </si>
  <si>
    <t>Compliance_Breach_Rate</t>
  </si>
  <si>
    <t>Work_Efficiency_Ratio</t>
  </si>
  <si>
    <t>Average of Compliance_Breach_Rate</t>
  </si>
  <si>
    <t>Average of Work_Efficiency_Ratio</t>
  </si>
  <si>
    <t>Average of Client_Satisfaction_Score</t>
  </si>
  <si>
    <t>Average of Audit_Effectiveness_Score</t>
  </si>
  <si>
    <t>Sum of Total_Revenue_Impact</t>
  </si>
  <si>
    <t>Revenue Impact</t>
  </si>
  <si>
    <t>Avg Employee Workload</t>
  </si>
  <si>
    <t>Audit Effectiveness Score</t>
  </si>
  <si>
    <t>Client Satisfaction Score</t>
  </si>
  <si>
    <t>Compliance Breach Rate</t>
  </si>
  <si>
    <t>Work Efficiency Ratio</t>
  </si>
  <si>
    <t>Fraud Cases Detected per Hour per Week</t>
  </si>
  <si>
    <t xml:space="preserve">Compliance Violations as a percentage of the Audit Engagements </t>
  </si>
  <si>
    <t>AuditGuard: AI-Powered Risk &amp; Compliance Insights, 2020-2025</t>
  </si>
  <si>
    <r>
      <rPr>
        <sz val="11"/>
        <color rgb="FFFF0000"/>
        <rFont val="Times New Roman"/>
        <family val="1"/>
      </rPr>
      <t>Low: 0 - 45 Hrs/Wk</t>
    </r>
    <r>
      <rPr>
        <sz val="11"/>
        <color theme="1"/>
        <rFont val="Times New Roman"/>
        <family val="1"/>
      </rPr>
      <t xml:space="preserve">, </t>
    </r>
    <r>
      <rPr>
        <sz val="11"/>
        <color theme="4"/>
        <rFont val="Times New Roman"/>
        <family val="1"/>
      </rPr>
      <t>Medium: 46 - 65 Hrs/Wk</t>
    </r>
    <r>
      <rPr>
        <sz val="11"/>
        <color theme="1"/>
        <rFont val="Times New Roman"/>
        <family val="1"/>
      </rPr>
      <t xml:space="preserve">, </t>
    </r>
    <r>
      <rPr>
        <sz val="11"/>
        <color theme="7"/>
        <rFont val="Times New Roman"/>
        <family val="1"/>
      </rPr>
      <t>High: 66 - 85 Hrs/Wk</t>
    </r>
  </si>
  <si>
    <r>
      <t xml:space="preserve">The Big 4 Auditing Firms namely, </t>
    </r>
    <r>
      <rPr>
        <b/>
        <sz val="11"/>
        <color theme="1"/>
        <rFont val="Times New Roman"/>
        <family val="1"/>
      </rPr>
      <t>Ernst &amp; Young (EY), PwC, KPMG and Deloitte</t>
    </r>
  </si>
  <si>
    <r>
      <t xml:space="preserve">Range from </t>
    </r>
    <r>
      <rPr>
        <b/>
        <sz val="11"/>
        <color theme="1"/>
        <rFont val="Times New Roman"/>
        <family val="1"/>
      </rPr>
      <t>2020 to 2025</t>
    </r>
  </si>
  <si>
    <r>
      <t>The sector impacted (</t>
    </r>
    <r>
      <rPr>
        <b/>
        <sz val="11"/>
        <color theme="1"/>
        <rFont val="Times New Roman"/>
        <family val="1"/>
      </rPr>
      <t>Finance, Tech, Retail, Healthcare</t>
    </r>
    <r>
      <rPr>
        <sz val="11"/>
        <color theme="1"/>
        <rFont val="Times New Roman"/>
        <family val="1"/>
      </rPr>
      <t>).</t>
    </r>
  </si>
  <si>
    <r>
      <t>Whether AI was used in the auditing process (</t>
    </r>
    <r>
      <rPr>
        <b/>
        <sz val="11"/>
        <color theme="1"/>
        <rFont val="Times New Roman"/>
        <family val="1"/>
      </rPr>
      <t>Yes/No</t>
    </r>
    <r>
      <rPr>
        <sz val="11"/>
        <color theme="1"/>
        <rFont val="Times New Roman"/>
        <family val="1"/>
      </rPr>
      <t>).</t>
    </r>
  </si>
  <si>
    <t>CBR</t>
  </si>
  <si>
    <t>CSS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</si>
</sst>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4" formatCode="_(&quot;$&quot;* #,##0.00_);_(&quot;$&quot;* \(#,##0.00\);_(&quot;$&quot;* &quot;-&quot;??_);_(@_)"/>
    <numFmt numFmtId="164" formatCode="_(&quot;$&quot;* #,##0_);_(&quot;$&quot;* \(#,##0\);_(&quot;$&quot;* &quot;-&quot;??_);_(@_)"/>
    <numFmt numFmtId="165" formatCode="0.00%;\-0.00%;0.00%"/>
    <numFmt numFmtId="166" formatCode="\$#,##0;\(\$#,##0\);\$#,##0"/>
    <numFmt numFmtId="167" formatCode="&quot;$&quot;#,##0"/>
  </numFmts>
  <fonts count="10" x14ac:knownFonts="1">
    <font>
      <sz val="11"/>
      <color theme="1"/>
      <name val="Calibri"/>
      <family val="2"/>
      <scheme val="minor"/>
    </font>
    <font>
      <sz val="11"/>
      <color theme="1"/>
      <name val="Calibri"/>
      <family val="2"/>
      <scheme val="minor"/>
    </font>
    <font>
      <sz val="11"/>
      <color theme="1"/>
      <name val="Times New Roman"/>
      <family val="1"/>
    </font>
    <font>
      <b/>
      <sz val="11"/>
      <color theme="1"/>
      <name val="Times New Roman"/>
      <family val="1"/>
    </font>
    <font>
      <b/>
      <sz val="11"/>
      <color theme="1"/>
      <name val="Times New Roman"/>
    </font>
    <font>
      <sz val="11"/>
      <color theme="1"/>
      <name val="Times New Roman"/>
    </font>
    <font>
      <sz val="18"/>
      <color theme="1"/>
      <name val="Times New Roman"/>
      <family val="1"/>
    </font>
    <font>
      <sz val="11"/>
      <color rgb="FFFF0000"/>
      <name val="Times New Roman"/>
      <family val="1"/>
    </font>
    <font>
      <sz val="11"/>
      <color theme="4"/>
      <name val="Times New Roman"/>
      <family val="1"/>
    </font>
    <font>
      <sz val="11"/>
      <color theme="7"/>
      <name val="Times New Roman"/>
      <family val="1"/>
    </font>
  </fonts>
  <fills count="4">
    <fill>
      <patternFill patternType="none"/>
    </fill>
    <fill>
      <patternFill patternType="gray125"/>
    </fill>
    <fill>
      <patternFill patternType="solid">
        <fgColor rgb="FF002060"/>
        <bgColor indexed="64"/>
      </patternFill>
    </fill>
    <fill>
      <patternFill patternType="solid">
        <fgColor theme="7" tint="0.79998168889431442"/>
        <bgColor indexed="64"/>
      </patternFill>
    </fill>
  </fills>
  <borders count="1">
    <border>
      <left/>
      <right/>
      <top/>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20">
    <xf numFmtId="0" fontId="0" fillId="0" borderId="0" xfId="0"/>
    <xf numFmtId="0" fontId="2" fillId="0" borderId="0" xfId="0" applyFont="1"/>
    <xf numFmtId="0" fontId="3" fillId="0" borderId="0" xfId="0" applyFont="1"/>
    <xf numFmtId="164" fontId="2" fillId="0" borderId="0" xfId="1" applyNumberFormat="1" applyFont="1"/>
    <xf numFmtId="0" fontId="0" fillId="0" borderId="0" xfId="0" pivotButton="1"/>
    <xf numFmtId="0" fontId="0" fillId="0" borderId="0" xfId="0" applyAlignment="1">
      <alignment horizontal="left"/>
    </xf>
    <xf numFmtId="0" fontId="0" fillId="0" borderId="0" xfId="0" applyNumberFormat="1"/>
    <xf numFmtId="9" fontId="2" fillId="0" borderId="0" xfId="2" applyFont="1"/>
    <xf numFmtId="2" fontId="2" fillId="0" borderId="0" xfId="0" applyNumberFormat="1" applyFont="1"/>
    <xf numFmtId="10" fontId="0" fillId="0" borderId="0" xfId="0" applyNumberFormat="1"/>
    <xf numFmtId="2" fontId="0" fillId="0" borderId="0" xfId="0" applyNumberFormat="1"/>
    <xf numFmtId="165" fontId="0" fillId="0" borderId="0" xfId="0" applyNumberFormat="1"/>
    <xf numFmtId="166" fontId="0" fillId="0" borderId="0" xfId="0" applyNumberFormat="1"/>
    <xf numFmtId="167" fontId="0" fillId="0" borderId="0" xfId="0" applyNumberFormat="1"/>
    <xf numFmtId="0" fontId="0" fillId="2" borderId="0" xfId="0" applyFill="1"/>
    <xf numFmtId="0" fontId="4" fillId="0" borderId="0" xfId="0" applyFont="1"/>
    <xf numFmtId="0" fontId="5" fillId="0" borderId="0" xfId="0" applyFont="1"/>
    <xf numFmtId="0" fontId="0" fillId="3" borderId="0" xfId="0" applyFill="1" applyAlignment="1"/>
    <xf numFmtId="0" fontId="6" fillId="2" borderId="0" xfId="0" applyFont="1" applyFill="1" applyAlignment="1">
      <alignment horizontal="left" vertical="center"/>
    </xf>
    <xf numFmtId="0" fontId="0" fillId="2" borderId="0" xfId="0" applyFill="1" applyAlignment="1">
      <alignment horizontal="left" vertical="center"/>
    </xf>
  </cellXfs>
  <cellStyles count="3">
    <cellStyle name="Currency" xfId="1" builtinId="4"/>
    <cellStyle name="Normal" xfId="0" builtinId="0"/>
    <cellStyle name="Percent" xfId="2" builtinId="5"/>
  </cellStyles>
  <dxfs count="22">
    <dxf>
      <font>
        <b val="0"/>
        <i val="0"/>
        <strike val="0"/>
        <condense val="0"/>
        <extend val="0"/>
        <outline val="0"/>
        <shadow val="0"/>
        <u val="none"/>
        <vertAlign val="baseline"/>
        <sz val="11"/>
        <color theme="1"/>
        <name val="Times New Roman"/>
        <scheme val="none"/>
      </font>
      <numFmt numFmtId="164" formatCode="_(&quot;$&quot;* #,##0_);_(&quot;$&quot;* \(#,##0\);_(&quot;$&quot;* &quot;-&quot;??_);_(@_)"/>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numFmt numFmtId="0" formatCode="General"/>
    </dxf>
    <dxf>
      <font>
        <b val="0"/>
        <i val="0"/>
        <strike val="0"/>
        <condense val="0"/>
        <extend val="0"/>
        <outline val="0"/>
        <shadow val="0"/>
        <u val="none"/>
        <vertAlign val="baseline"/>
        <sz val="11"/>
        <color theme="1"/>
        <name val="Times New Roman"/>
        <scheme val="none"/>
      </font>
      <numFmt numFmtId="2" formatCode="0.00"/>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i val="0"/>
        <strike val="0"/>
        <condense val="0"/>
        <extend val="0"/>
        <outline val="0"/>
        <shadow val="0"/>
        <u val="none"/>
        <vertAlign val="baseline"/>
        <sz val="11"/>
        <color theme="1"/>
        <name val="Times New Roman"/>
        <scheme val="none"/>
      </font>
    </dxf>
    <dxf>
      <font>
        <b/>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
      <font>
        <b val="0"/>
        <i val="0"/>
        <strike val="0"/>
        <condense val="0"/>
        <extend val="0"/>
        <outline val="0"/>
        <shadow val="0"/>
        <u val="none"/>
        <vertAlign val="baseline"/>
        <sz val="11"/>
        <color theme="1"/>
        <name val="Times New Roman"/>
        <scheme val="none"/>
      </font>
    </dxf>
  </dxfs>
  <tableStyles count="0" defaultTableStyle="TableStyleMedium2" defaultPivotStyle="PivotStyleLight16"/>
  <colors>
    <mruColors>
      <color rgb="FF008000"/>
      <color rgb="FF00FF00"/>
      <color rgb="FF9900CC"/>
      <color rgb="FF99FF99"/>
      <color rgb="FFCCFF66"/>
      <color rgb="FFC49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microsoft.com/office/2007/relationships/slicerCache" Target="slicerCaches/slicerCache2.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5.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55" Type="http://schemas.openxmlformats.org/officeDocument/2006/relationships/customXml" Target="../customXml/item28.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8" Type="http://schemas.microsoft.com/office/2006/relationships/vbaProject" Target="vbaProject.bin"/><Relationship Id="rId5" Type="http://schemas.openxmlformats.org/officeDocument/2006/relationships/worksheet" Target="worksheets/sheet5.xml"/><Relationship Id="rId19"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56" Type="http://schemas.openxmlformats.org/officeDocument/2006/relationships/customXml" Target="../customXml/item29.xml"/><Relationship Id="rId8" Type="http://schemas.openxmlformats.org/officeDocument/2006/relationships/pivotCacheDefinition" Target="pivotCache/pivotCacheDefinition3.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microsoft.com/office/2007/relationships/slicerCache" Target="slicerCaches/slicerCache1.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4.xml"/><Relationship Id="rId41" Type="http://schemas.openxmlformats.org/officeDocument/2006/relationships/customXml" Target="../customXml/item14.xml"/><Relationship Id="rId54" Type="http://schemas.openxmlformats.org/officeDocument/2006/relationships/customXml" Target="../customXml/item27.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 Id="rId57" Type="http://schemas.openxmlformats.org/officeDocument/2006/relationships/customXml" Target="../customXml/item30.xml"/><Relationship Id="rId10" Type="http://schemas.openxmlformats.org/officeDocument/2006/relationships/pivotCacheDefinition" Target="pivotCache/pivotCacheDefinition5.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Dashboard.xlsm]Pivot!PivotTable1</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AI</a:t>
            </a:r>
            <a:r>
              <a:rPr lang="en-US" sz="900" b="1" baseline="0">
                <a:latin typeface="Times New Roman" panose="02020603050405020304" pitchFamily="18" charset="0"/>
                <a:cs typeface="Times New Roman" panose="02020603050405020304" pitchFamily="18" charset="0"/>
              </a:rPr>
              <a:t> Usage in Auditing</a:t>
            </a:r>
            <a:endParaRPr lang="en-US" sz="900" b="1">
              <a:latin typeface="Times New Roman" panose="02020603050405020304" pitchFamily="18" charset="0"/>
              <a:cs typeface="Times New Roman" panose="02020603050405020304" pitchFamily="18" charset="0"/>
            </a:endParaRPr>
          </a:p>
        </c:rich>
      </c:tx>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11"/>
        <c:spPr>
          <a:solidFill>
            <a:srgbClr val="FF0000"/>
          </a:solidFill>
          <a:ln w="19050">
            <a:solidFill>
              <a:schemeClr val="lt1"/>
            </a:solidFill>
          </a:ln>
          <a:effectLst/>
        </c:spPr>
      </c:pivotFmt>
      <c:pivotFmt>
        <c:idx val="12"/>
        <c:spPr>
          <a:solidFill>
            <a:srgbClr val="008000"/>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Pivot!$B$1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B10-47C0-9EAE-1322282A6C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B10-47C0-9EAE-1322282A6C5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Pivot!$A$2:$A$3</c:f>
              <c:strCache>
                <c:ptCount val="2"/>
                <c:pt idx="0">
                  <c:v>No</c:v>
                </c:pt>
                <c:pt idx="1">
                  <c:v>Yes</c:v>
                </c:pt>
              </c:strCache>
            </c:strRef>
          </c:cat>
          <c:val>
            <c:numRef>
              <c:f>Pivot!$B$2:$B$3</c:f>
              <c:numCache>
                <c:formatCode>General</c:formatCode>
                <c:ptCount val="2"/>
                <c:pt idx="0">
                  <c:v>55</c:v>
                </c:pt>
                <c:pt idx="1">
                  <c:v>45</c:v>
                </c:pt>
              </c:numCache>
            </c:numRef>
          </c:val>
          <c:extLst>
            <c:ext xmlns:c16="http://schemas.microsoft.com/office/drawing/2014/chart" uri="{C3380CC4-5D6E-409C-BE32-E72D297353CC}">
              <c16:uniqueId val="{00000004-AB10-47C0-9EAE-1322282A6C5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Dashboard.xlsm]Pivot!PivotTable4</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Compliance Breaches Detected per Industry</a:t>
            </a:r>
          </a:p>
        </c:rich>
      </c:tx>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rgbClr val="002060"/>
          </a:solidFill>
          <a:ln>
            <a:noFill/>
          </a:ln>
          <a:effectLst/>
        </c:spPr>
        <c:marker>
          <c:symbol val="none"/>
        </c:marker>
      </c:pivotFmt>
      <c:pivotFmt>
        <c:idx val="6"/>
        <c:spPr>
          <a:solidFill>
            <a:srgbClr val="00206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7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Pivot!$B$5</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Pivot!$A$6:$A$9</c:f>
              <c:strCache>
                <c:ptCount val="4"/>
                <c:pt idx="0">
                  <c:v>Finance</c:v>
                </c:pt>
                <c:pt idx="1">
                  <c:v>Healthcare</c:v>
                </c:pt>
                <c:pt idx="2">
                  <c:v>Retail</c:v>
                </c:pt>
                <c:pt idx="3">
                  <c:v>Tech</c:v>
                </c:pt>
              </c:strCache>
            </c:strRef>
          </c:cat>
          <c:val>
            <c:numRef>
              <c:f>Pivot!$B$6:$B$9</c:f>
              <c:numCache>
                <c:formatCode>General</c:formatCode>
                <c:ptCount val="4"/>
                <c:pt idx="0">
                  <c:v>1669</c:v>
                </c:pt>
                <c:pt idx="1">
                  <c:v>2665</c:v>
                </c:pt>
                <c:pt idx="2">
                  <c:v>3226</c:v>
                </c:pt>
                <c:pt idx="3">
                  <c:v>2988</c:v>
                </c:pt>
              </c:numCache>
            </c:numRef>
          </c:val>
          <c:extLst>
            <c:ext xmlns:c16="http://schemas.microsoft.com/office/drawing/2014/chart" uri="{C3380CC4-5D6E-409C-BE32-E72D297353CC}">
              <c16:uniqueId val="{00000000-748F-4922-B364-F8E6EBA79788}"/>
            </c:ext>
          </c:extLst>
        </c:ser>
        <c:dLbls>
          <c:dLblPos val="outEnd"/>
          <c:showLegendKey val="0"/>
          <c:showVal val="1"/>
          <c:showCatName val="0"/>
          <c:showSerName val="0"/>
          <c:showPercent val="0"/>
          <c:showBubbleSize val="0"/>
        </c:dLbls>
        <c:gapWidth val="219"/>
        <c:overlap val="-27"/>
        <c:axId val="1987908047"/>
        <c:axId val="1987901807"/>
      </c:barChart>
      <c:catAx>
        <c:axId val="198790804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901807"/>
        <c:crosses val="autoZero"/>
        <c:auto val="1"/>
        <c:lblAlgn val="ctr"/>
        <c:lblOffset val="100"/>
        <c:noMultiLvlLbl val="0"/>
      </c:catAx>
      <c:valAx>
        <c:axId val="1987901807"/>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Breaches</a:t>
                </a:r>
              </a:p>
            </c:rich>
          </c:tx>
          <c:layout>
            <c:manualLayout>
              <c:xMode val="edge"/>
              <c:yMode val="edge"/>
              <c:x val="3.9963669391462307E-2"/>
              <c:y val="0.26957854406130266"/>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9080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softEdge rad="63500"/>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Dashboard.xlsm]Pivot!PivotTable8</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Revenue Impact</a:t>
            </a:r>
            <a:r>
              <a:rPr lang="en-US" sz="900" b="1" baseline="0">
                <a:latin typeface="Times New Roman" panose="02020603050405020304" pitchFamily="18" charset="0"/>
                <a:cs typeface="Times New Roman" panose="02020603050405020304" pitchFamily="18" charset="0"/>
              </a:rPr>
              <a:t> per Industry</a:t>
            </a:r>
            <a:endParaRPr lang="en-US" sz="900" b="1">
              <a:latin typeface="Times New Roman" panose="02020603050405020304" pitchFamily="18" charset="0"/>
              <a:cs typeface="Times New Roman" panose="02020603050405020304" pitchFamily="18" charset="0"/>
            </a:endParaRPr>
          </a:p>
        </c:rich>
      </c:tx>
      <c:layout>
        <c:manualLayout>
          <c:xMode val="edge"/>
          <c:yMode val="edge"/>
          <c:x val="0.26584436226130564"/>
          <c:y val="2.8985507246376812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solidFill>
              <a:schemeClr val="accent1"/>
            </a:solidFill>
          </a:ln>
          <a:effectLst/>
        </c:spPr>
        <c:marker>
          <c:symbol val="none"/>
        </c:marker>
      </c:pivotFmt>
      <c:pivotFmt>
        <c:idx val="2"/>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solidFill>
              <a:schemeClr val="accent1"/>
            </a:solidFill>
          </a:ln>
          <a:effectLst/>
        </c:spPr>
        <c:marker>
          <c:symbol val="none"/>
        </c:marker>
      </c:pivotFmt>
      <c:pivotFmt>
        <c:idx val="3"/>
        <c:spPr>
          <a:solidFill>
            <a:srgbClr val="002060"/>
          </a:solidFill>
          <a:ln>
            <a:solidFill>
              <a:schemeClr val="accent1"/>
            </a:solidFill>
          </a:ln>
          <a:effectLst/>
        </c:spPr>
        <c:marker>
          <c:symbol val="none"/>
        </c:marker>
        <c:dLbl>
          <c:idx val="0"/>
          <c:layout/>
          <c:numFmt formatCode="&quot;$&quot;#,##0.00" sourceLinked="0"/>
          <c:spPr>
            <a:noFill/>
            <a:ln>
              <a:noFill/>
            </a:ln>
            <a:effectLst/>
          </c:spPr>
          <c:txPr>
            <a:bodyPr rot="0" spcFirstLastPara="1" vertOverflow="ellipsis" vert="horz" wrap="square" lIns="38100" tIns="19050" rIns="38100" bIns="19050" anchor="ctr" anchorCtr="1">
              <a:spAutoFit/>
            </a:bodyPr>
            <a:lstStyle/>
            <a:p>
              <a:pPr>
                <a:defRPr sz="7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Pivot!$B$70</c:f>
              <c:strCache>
                <c:ptCount val="1"/>
                <c:pt idx="0">
                  <c:v>Total</c:v>
                </c:pt>
              </c:strCache>
            </c:strRef>
          </c:tx>
          <c:spPr>
            <a:solidFill>
              <a:srgbClr val="002060"/>
            </a:solidFill>
            <a:ln>
              <a:solidFill>
                <a:schemeClr val="accent1"/>
              </a:solid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7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Pivot!$A$71:$A$74</c:f>
              <c:strCache>
                <c:ptCount val="4"/>
                <c:pt idx="0">
                  <c:v>Finance</c:v>
                </c:pt>
                <c:pt idx="1">
                  <c:v>Healthcare</c:v>
                </c:pt>
                <c:pt idx="2">
                  <c:v>Retail</c:v>
                </c:pt>
                <c:pt idx="3">
                  <c:v>Tech</c:v>
                </c:pt>
              </c:strCache>
            </c:strRef>
          </c:cat>
          <c:val>
            <c:numRef>
              <c:f>Pivot!$B$71:$B$74</c:f>
              <c:numCache>
                <c:formatCode>"$"#,##0</c:formatCode>
                <c:ptCount val="4"/>
                <c:pt idx="0">
                  <c:v>5940200000</c:v>
                </c:pt>
                <c:pt idx="1">
                  <c:v>5475590000</c:v>
                </c:pt>
                <c:pt idx="2">
                  <c:v>8696300000</c:v>
                </c:pt>
                <c:pt idx="3">
                  <c:v>7141810000</c:v>
                </c:pt>
              </c:numCache>
            </c:numRef>
          </c:val>
          <c:extLst>
            <c:ext xmlns:c16="http://schemas.microsoft.com/office/drawing/2014/chart" uri="{C3380CC4-5D6E-409C-BE32-E72D297353CC}">
              <c16:uniqueId val="{00000000-A22D-47E7-8C20-B39C49F6B4C1}"/>
            </c:ext>
          </c:extLst>
        </c:ser>
        <c:dLbls>
          <c:dLblPos val="outEnd"/>
          <c:showLegendKey val="0"/>
          <c:showVal val="1"/>
          <c:showCatName val="0"/>
          <c:showSerName val="0"/>
          <c:showPercent val="0"/>
          <c:showBubbleSize val="0"/>
        </c:dLbls>
        <c:gapWidth val="182"/>
        <c:axId val="1489802591"/>
        <c:axId val="1489800511"/>
      </c:barChart>
      <c:catAx>
        <c:axId val="1489802591"/>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Industry</a:t>
                </a:r>
              </a:p>
            </c:rich>
          </c:tx>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89800511"/>
        <c:crosses val="autoZero"/>
        <c:auto val="1"/>
        <c:lblAlgn val="ctr"/>
        <c:lblOffset val="100"/>
        <c:noMultiLvlLbl val="0"/>
      </c:catAx>
      <c:valAx>
        <c:axId val="148980051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Total Revenue Impact (USD in Billions)</a:t>
                </a:r>
              </a:p>
            </c:rich>
          </c:tx>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quot;$&quot;#,##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89802591"/>
        <c:crosses val="autoZero"/>
        <c:crossBetween val="between"/>
        <c:dispUnits>
          <c:builtInUnit val="billions"/>
        </c:dispUnits>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Dashboard.xlsm]Pivot!PivotTable9</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baseline="0">
                <a:latin typeface="Times New Roman" panose="02020603050405020304" pitchFamily="18" charset="0"/>
                <a:cs typeface="Times New Roman" panose="02020603050405020304" pitchFamily="18" charset="0"/>
              </a:rPr>
              <a:t>Efficiency Ratio per Audit Firm</a:t>
            </a:r>
            <a:endParaRPr lang="en-US" sz="900" b="1">
              <a:latin typeface="Times New Roman" panose="02020603050405020304" pitchFamily="18" charset="0"/>
              <a:cs typeface="Times New Roman" panose="02020603050405020304" pitchFamily="18" charset="0"/>
            </a:endParaRPr>
          </a:p>
        </c:rich>
      </c:tx>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Pivot!$E$30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F0-491A-9A8A-A6CFA43771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F0-491A-9A8A-A6CFA43771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9F0-491A-9A8A-A6CFA43771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F80-46F9-AB40-8666E218673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Pivot!$D$31:$D$34</c:f>
              <c:strCache>
                <c:ptCount val="4"/>
                <c:pt idx="0">
                  <c:v>Deloitte</c:v>
                </c:pt>
                <c:pt idx="1">
                  <c:v>Ernst &amp; Young</c:v>
                </c:pt>
                <c:pt idx="2">
                  <c:v>KPMG</c:v>
                </c:pt>
                <c:pt idx="3">
                  <c:v>PwC</c:v>
                </c:pt>
              </c:strCache>
            </c:strRef>
          </c:cat>
          <c:val>
            <c:numRef>
              <c:f>Pivot!$E$31:$E$34</c:f>
              <c:numCache>
                <c:formatCode>0.00</c:formatCode>
                <c:ptCount val="4"/>
                <c:pt idx="0">
                  <c:v>0.81963353539844119</c:v>
                </c:pt>
                <c:pt idx="1">
                  <c:v>0.7417170123680783</c:v>
                </c:pt>
                <c:pt idx="2">
                  <c:v>1.0588042987808917</c:v>
                </c:pt>
                <c:pt idx="3">
                  <c:v>1.0218435573772162</c:v>
                </c:pt>
              </c:numCache>
            </c:numRef>
          </c:val>
          <c:extLst>
            <c:ext xmlns:c16="http://schemas.microsoft.com/office/drawing/2014/chart" uri="{C3380CC4-5D6E-409C-BE32-E72D297353CC}">
              <c16:uniqueId val="{00000006-A9F0-491A-9A8A-A6CFA43771E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a:glow rad="635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Dashboard.xlsm]Pivot!PivotTable3</c:name>
    <c:fmtId val="3"/>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Compliance Breach Rate by Industry</a:t>
            </a:r>
          </a:p>
        </c:rich>
      </c:tx>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206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7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Pivot!$E$42</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Pivot!$D$43:$D$46</c:f>
              <c:strCache>
                <c:ptCount val="4"/>
                <c:pt idx="0">
                  <c:v>Finance</c:v>
                </c:pt>
                <c:pt idx="1">
                  <c:v>Healthcare</c:v>
                </c:pt>
                <c:pt idx="2">
                  <c:v>Retail</c:v>
                </c:pt>
                <c:pt idx="3">
                  <c:v>Tech</c:v>
                </c:pt>
              </c:strCache>
            </c:strRef>
          </c:cat>
          <c:val>
            <c:numRef>
              <c:f>Pivot!$E$43:$E$46</c:f>
              <c:numCache>
                <c:formatCode>0.00%;\-0.00%;0.00%</c:formatCode>
                <c:ptCount val="4"/>
                <c:pt idx="0">
                  <c:v>3.5126720525993173E-2</c:v>
                </c:pt>
                <c:pt idx="1">
                  <c:v>5.3973084719822671E-2</c:v>
                </c:pt>
                <c:pt idx="2">
                  <c:v>5.8809415868533457E-2</c:v>
                </c:pt>
                <c:pt idx="3">
                  <c:v>4.7013804364691554E-2</c:v>
                </c:pt>
              </c:numCache>
            </c:numRef>
          </c:val>
          <c:extLst>
            <c:ext xmlns:c16="http://schemas.microsoft.com/office/drawing/2014/chart" uri="{C3380CC4-5D6E-409C-BE32-E72D297353CC}">
              <c16:uniqueId val="{00000000-A705-4F5A-8B11-82C521EE4477}"/>
            </c:ext>
          </c:extLst>
        </c:ser>
        <c:dLbls>
          <c:dLblPos val="outEnd"/>
          <c:showLegendKey val="0"/>
          <c:showVal val="1"/>
          <c:showCatName val="0"/>
          <c:showSerName val="0"/>
          <c:showPercent val="0"/>
          <c:showBubbleSize val="0"/>
        </c:dLbls>
        <c:gapWidth val="182"/>
        <c:axId val="1424168895"/>
        <c:axId val="1424163903"/>
      </c:barChart>
      <c:catAx>
        <c:axId val="142416889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3903"/>
        <c:crosses val="autoZero"/>
        <c:auto val="1"/>
        <c:lblAlgn val="ctr"/>
        <c:lblOffset val="100"/>
        <c:noMultiLvlLbl val="0"/>
      </c:catAx>
      <c:valAx>
        <c:axId val="14241639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CBR</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88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bg1"/>
      </a:solidFill>
      <a:round/>
    </a:ln>
    <a:effectLst>
      <a:glow rad="635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Dashboard.xlsm]Pivot!PivotTable11</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Client Satisfaction</a:t>
            </a:r>
            <a:r>
              <a:rPr lang="en-US" sz="900" b="1" baseline="0">
                <a:latin typeface="Times New Roman" panose="02020603050405020304" pitchFamily="18" charset="0"/>
                <a:cs typeface="Times New Roman" panose="02020603050405020304" pitchFamily="18" charset="0"/>
              </a:rPr>
              <a:t> Score by Industry</a:t>
            </a:r>
            <a:endParaRPr lang="en-US" sz="900" b="1">
              <a:latin typeface="Times New Roman" panose="02020603050405020304" pitchFamily="18" charset="0"/>
              <a:cs typeface="Times New Roman" panose="02020603050405020304" pitchFamily="18" charset="0"/>
            </a:endParaRPr>
          </a:p>
        </c:rich>
      </c:tx>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00206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7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Pivot!$E$51</c:f>
              <c:strCache>
                <c:ptCount val="1"/>
                <c:pt idx="0">
                  <c:v>Total</c:v>
                </c:pt>
              </c:strCache>
            </c:strRef>
          </c:tx>
          <c:spPr>
            <a:solidFill>
              <a:srgbClr val="00206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1"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Pivot!$D$52:$D$55</c:f>
              <c:strCache>
                <c:ptCount val="4"/>
                <c:pt idx="0">
                  <c:v>Finance</c:v>
                </c:pt>
                <c:pt idx="1">
                  <c:v>Healthcare</c:v>
                </c:pt>
                <c:pt idx="2">
                  <c:v>Retail</c:v>
                </c:pt>
                <c:pt idx="3">
                  <c:v>Tech</c:v>
                </c:pt>
              </c:strCache>
            </c:strRef>
          </c:cat>
          <c:val>
            <c:numRef>
              <c:f>Pivot!$E$52:$E$55</c:f>
              <c:numCache>
                <c:formatCode>0.00</c:formatCode>
                <c:ptCount val="4"/>
                <c:pt idx="0">
                  <c:v>7.0650000000000004</c:v>
                </c:pt>
                <c:pt idx="1">
                  <c:v>7.6333333333333329</c:v>
                </c:pt>
                <c:pt idx="2">
                  <c:v>7.4481481481481477</c:v>
                </c:pt>
                <c:pt idx="3">
                  <c:v>7.1827586206896559</c:v>
                </c:pt>
              </c:numCache>
            </c:numRef>
          </c:val>
          <c:extLst>
            <c:ext xmlns:c16="http://schemas.microsoft.com/office/drawing/2014/chart" uri="{C3380CC4-5D6E-409C-BE32-E72D297353CC}">
              <c16:uniqueId val="{00000000-F0FC-40F1-8B9E-387F31E6D7B1}"/>
            </c:ext>
          </c:extLst>
        </c:ser>
        <c:dLbls>
          <c:dLblPos val="outEnd"/>
          <c:showLegendKey val="0"/>
          <c:showVal val="1"/>
          <c:showCatName val="0"/>
          <c:showSerName val="0"/>
          <c:showPercent val="0"/>
          <c:showBubbleSize val="0"/>
        </c:dLbls>
        <c:gapWidth val="219"/>
        <c:overlap val="-27"/>
        <c:axId val="1424160991"/>
        <c:axId val="1424163071"/>
      </c:barChart>
      <c:catAx>
        <c:axId val="14241609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3071"/>
        <c:crosses val="autoZero"/>
        <c:auto val="1"/>
        <c:lblAlgn val="ctr"/>
        <c:lblOffset val="100"/>
        <c:noMultiLvlLbl val="0"/>
      </c:catAx>
      <c:valAx>
        <c:axId val="14241630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CSS</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09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a:glow rad="228600">
        <a:schemeClr val="accent3">
          <a:satMod val="175000"/>
          <a:alpha val="40000"/>
        </a:schemeClr>
      </a:glo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Dashboard.xlsm]Pivot!PivotTable1</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AI</a:t>
            </a:r>
            <a:r>
              <a:rPr lang="en-US" sz="900" b="1" baseline="0">
                <a:latin typeface="Times New Roman" panose="02020603050405020304" pitchFamily="18" charset="0"/>
                <a:cs typeface="Times New Roman" panose="02020603050405020304" pitchFamily="18" charset="0"/>
              </a:rPr>
              <a:t> Usage in Auditing</a:t>
            </a:r>
            <a:endParaRPr lang="en-US" sz="9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Pivot!$B$1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9AD-4E8F-9057-E528A1FE83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9AD-4E8F-9057-E528A1FE83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Pivot!$A$2:$A$3</c:f>
              <c:strCache>
                <c:ptCount val="2"/>
                <c:pt idx="0">
                  <c:v>No</c:v>
                </c:pt>
                <c:pt idx="1">
                  <c:v>Yes</c:v>
                </c:pt>
              </c:strCache>
            </c:strRef>
          </c:cat>
          <c:val>
            <c:numRef>
              <c:f>Pivot!$B$2:$B$3</c:f>
              <c:numCache>
                <c:formatCode>General</c:formatCode>
                <c:ptCount val="2"/>
                <c:pt idx="0">
                  <c:v>55</c:v>
                </c:pt>
                <c:pt idx="1">
                  <c:v>45</c:v>
                </c:pt>
              </c:numCache>
            </c:numRef>
          </c:val>
          <c:extLst>
            <c:ext xmlns:c16="http://schemas.microsoft.com/office/drawing/2014/chart" uri="{C3380CC4-5D6E-409C-BE32-E72D297353CC}">
              <c16:uniqueId val="{00000000-597C-46F6-BDB9-BB77AA666C5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Dashboard.xlsm]Pivot!PivotTable4</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Compliance Breaches Detected per Firm</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Pivot!$B$5</c:f>
              <c:strCache>
                <c:ptCount val="1"/>
                <c:pt idx="0">
                  <c:v>Total</c:v>
                </c:pt>
              </c:strCache>
            </c:strRef>
          </c:tx>
          <c:spPr>
            <a:solidFill>
              <a:schemeClr val="accent1"/>
            </a:solidFill>
            <a:ln>
              <a:noFill/>
            </a:ln>
            <a:effectLst/>
          </c:spPr>
          <c:invertIfNegative val="0"/>
          <c:cat>
            <c:strRef>
              <c:f>Pivot!$A$6:$A$9</c:f>
              <c:strCache>
                <c:ptCount val="4"/>
                <c:pt idx="0">
                  <c:v>Finance</c:v>
                </c:pt>
                <c:pt idx="1">
                  <c:v>Healthcare</c:v>
                </c:pt>
                <c:pt idx="2">
                  <c:v>Retail</c:v>
                </c:pt>
                <c:pt idx="3">
                  <c:v>Tech</c:v>
                </c:pt>
              </c:strCache>
            </c:strRef>
          </c:cat>
          <c:val>
            <c:numRef>
              <c:f>Pivot!$B$6:$B$9</c:f>
              <c:numCache>
                <c:formatCode>General</c:formatCode>
                <c:ptCount val="4"/>
                <c:pt idx="0">
                  <c:v>1669</c:v>
                </c:pt>
                <c:pt idx="1">
                  <c:v>2665</c:v>
                </c:pt>
                <c:pt idx="2">
                  <c:v>3226</c:v>
                </c:pt>
                <c:pt idx="3">
                  <c:v>2988</c:v>
                </c:pt>
              </c:numCache>
            </c:numRef>
          </c:val>
          <c:extLst>
            <c:ext xmlns:c16="http://schemas.microsoft.com/office/drawing/2014/chart" uri="{C3380CC4-5D6E-409C-BE32-E72D297353CC}">
              <c16:uniqueId val="{00000001-A1A8-47D2-84DF-99C60EE65936}"/>
            </c:ext>
          </c:extLst>
        </c:ser>
        <c:dLbls>
          <c:showLegendKey val="0"/>
          <c:showVal val="0"/>
          <c:showCatName val="0"/>
          <c:showSerName val="0"/>
          <c:showPercent val="0"/>
          <c:showBubbleSize val="0"/>
        </c:dLbls>
        <c:gapWidth val="219"/>
        <c:overlap val="-27"/>
        <c:axId val="1987908047"/>
        <c:axId val="1987901807"/>
      </c:barChart>
      <c:catAx>
        <c:axId val="198790804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Firm</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901807"/>
        <c:crosses val="autoZero"/>
        <c:auto val="1"/>
        <c:lblAlgn val="ctr"/>
        <c:lblOffset val="100"/>
        <c:noMultiLvlLbl val="0"/>
      </c:catAx>
      <c:valAx>
        <c:axId val="1987901807"/>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Breaches</a:t>
                </a:r>
              </a:p>
            </c:rich>
          </c:tx>
          <c:layout>
            <c:manualLayout>
              <c:xMode val="edge"/>
              <c:yMode val="edge"/>
              <c:x val="3.9963669391462307E-2"/>
              <c:y val="0.26957854406130266"/>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879080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9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Dashboard.xlsm]Pivot!PivotTable5</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Trends</a:t>
            </a:r>
            <a:r>
              <a:rPr lang="en-US" sz="900" b="1" baseline="0">
                <a:latin typeface="Times New Roman" panose="02020603050405020304" pitchFamily="18" charset="0"/>
                <a:cs typeface="Times New Roman" panose="02020603050405020304" pitchFamily="18" charset="0"/>
              </a:rPr>
              <a:t> in Client Satisfaction</a:t>
            </a:r>
            <a:endParaRPr lang="en-US" sz="9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ln w="15875" cap="rnd">
            <a:solidFill>
              <a:schemeClr val="accent1"/>
            </a:solidFill>
            <a:round/>
          </a:ln>
          <a:effectLst/>
        </c:spPr>
        <c:marker>
          <c:symbol val="none"/>
        </c:marker>
      </c:pivotFmt>
    </c:pivotFmts>
    <c:plotArea>
      <c:layout/>
      <c:lineChart>
        <c:grouping val="standard"/>
        <c:varyColors val="0"/>
        <c:ser>
          <c:idx val="0"/>
          <c:order val="0"/>
          <c:tx>
            <c:strRef>
              <c:f>Pivot!$B$11</c:f>
              <c:strCache>
                <c:ptCount val="1"/>
                <c:pt idx="0">
                  <c:v>Total</c:v>
                </c:pt>
              </c:strCache>
            </c:strRef>
          </c:tx>
          <c:spPr>
            <a:ln w="15875" cap="rnd">
              <a:solidFill>
                <a:schemeClr val="accent1"/>
              </a:solidFill>
              <a:round/>
            </a:ln>
            <a:effectLst/>
          </c:spPr>
          <c:marker>
            <c:symbol val="none"/>
          </c:marker>
          <c:cat>
            <c:strRef>
              <c:f>Pivot!$A$12:$A$17</c:f>
              <c:strCache>
                <c:ptCount val="6"/>
                <c:pt idx="0">
                  <c:v>2020</c:v>
                </c:pt>
                <c:pt idx="1">
                  <c:v>2021</c:v>
                </c:pt>
                <c:pt idx="2">
                  <c:v>2022</c:v>
                </c:pt>
                <c:pt idx="3">
                  <c:v>2023</c:v>
                </c:pt>
                <c:pt idx="4">
                  <c:v>2024</c:v>
                </c:pt>
                <c:pt idx="5">
                  <c:v>2025</c:v>
                </c:pt>
              </c:strCache>
            </c:strRef>
          </c:cat>
          <c:val>
            <c:numRef>
              <c:f>Pivot!$B$12:$B$17</c:f>
              <c:numCache>
                <c:formatCode>0.00</c:formatCode>
                <c:ptCount val="6"/>
                <c:pt idx="0">
                  <c:v>7.6476190476190471</c:v>
                </c:pt>
                <c:pt idx="1">
                  <c:v>7.2684210526315782</c:v>
                </c:pt>
                <c:pt idx="2">
                  <c:v>6.7666666666666666</c:v>
                </c:pt>
                <c:pt idx="3">
                  <c:v>7.4230769230769234</c:v>
                </c:pt>
                <c:pt idx="4">
                  <c:v>7.3875000000000002</c:v>
                </c:pt>
                <c:pt idx="5">
                  <c:v>7.4375</c:v>
                </c:pt>
              </c:numCache>
            </c:numRef>
          </c:val>
          <c:smooth val="0"/>
          <c:extLst>
            <c:ext xmlns:c16="http://schemas.microsoft.com/office/drawing/2014/chart" uri="{C3380CC4-5D6E-409C-BE32-E72D297353CC}">
              <c16:uniqueId val="{00000000-3EAE-4B2E-9FB1-79F3B8DE3E86}"/>
            </c:ext>
          </c:extLst>
        </c:ser>
        <c:dLbls>
          <c:showLegendKey val="0"/>
          <c:showVal val="0"/>
          <c:showCatName val="0"/>
          <c:showSerName val="0"/>
          <c:showPercent val="0"/>
          <c:showBubbleSize val="0"/>
        </c:dLbls>
        <c:smooth val="0"/>
        <c:axId val="1977540815"/>
        <c:axId val="1977542479"/>
      </c:lineChart>
      <c:catAx>
        <c:axId val="1977540815"/>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Year</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77542479"/>
        <c:crosses val="autoZero"/>
        <c:auto val="1"/>
        <c:lblAlgn val="ctr"/>
        <c:lblOffset val="100"/>
        <c:noMultiLvlLbl val="0"/>
      </c:catAx>
      <c:valAx>
        <c:axId val="1977542479"/>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Score</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9775408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Dashboard.xlsm]Pivot!PivotTable7</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Influence of Workload on Compliance Breach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ln w="15875" cap="rnd">
            <a:solidFill>
              <a:schemeClr val="accent1"/>
            </a:solidFill>
            <a:round/>
          </a:ln>
          <a:effectLst/>
        </c:spPr>
        <c:marker>
          <c:symbol val="none"/>
        </c:marker>
      </c:pivotFmt>
    </c:pivotFmts>
    <c:plotArea>
      <c:layout/>
      <c:lineChart>
        <c:grouping val="standard"/>
        <c:varyColors val="0"/>
        <c:ser>
          <c:idx val="0"/>
          <c:order val="0"/>
          <c:tx>
            <c:strRef>
              <c:f>Pivot!$B$27</c:f>
              <c:strCache>
                <c:ptCount val="1"/>
                <c:pt idx="0">
                  <c:v>Total</c:v>
                </c:pt>
              </c:strCache>
            </c:strRef>
          </c:tx>
          <c:spPr>
            <a:ln w="15875" cap="rnd">
              <a:solidFill>
                <a:schemeClr val="accent1"/>
              </a:solidFill>
              <a:round/>
            </a:ln>
            <a:effectLst/>
          </c:spPr>
          <c:marker>
            <c:symbol val="none"/>
          </c:marker>
          <c:trendline>
            <c:spPr>
              <a:ln w="19050" cap="rnd">
                <a:solidFill>
                  <a:srgbClr val="FF0000"/>
                </a:solidFill>
                <a:prstDash val="sysDot"/>
              </a:ln>
              <a:effectLst/>
            </c:spPr>
            <c:trendlineType val="linear"/>
            <c:dispRSqr val="0"/>
            <c:dispEq val="0"/>
          </c:trendline>
          <c:cat>
            <c:strRef>
              <c:f>Pivot!$A$28:$A$67</c:f>
              <c:strCache>
                <c:ptCount val="40"/>
                <c:pt idx="0">
                  <c:v>40</c:v>
                </c:pt>
                <c:pt idx="1">
                  <c:v>41</c:v>
                </c:pt>
                <c:pt idx="2">
                  <c:v>42</c:v>
                </c:pt>
                <c:pt idx="3">
                  <c:v>43</c:v>
                </c:pt>
                <c:pt idx="4">
                  <c:v>44</c:v>
                </c:pt>
                <c:pt idx="5">
                  <c:v>45</c:v>
                </c:pt>
                <c:pt idx="6">
                  <c:v>46</c:v>
                </c:pt>
                <c:pt idx="7">
                  <c:v>47</c:v>
                </c:pt>
                <c:pt idx="8">
                  <c:v>48</c:v>
                </c:pt>
                <c:pt idx="9">
                  <c:v>49</c:v>
                </c:pt>
                <c:pt idx="10">
                  <c:v>50</c:v>
                </c:pt>
                <c:pt idx="11">
                  <c:v>51</c:v>
                </c:pt>
                <c:pt idx="12">
                  <c:v>52</c:v>
                </c:pt>
                <c:pt idx="13">
                  <c:v>53</c:v>
                </c:pt>
                <c:pt idx="14">
                  <c:v>54</c:v>
                </c:pt>
                <c:pt idx="15">
                  <c:v>55</c:v>
                </c:pt>
                <c:pt idx="16">
                  <c:v>56</c:v>
                </c:pt>
                <c:pt idx="17">
                  <c:v>57</c:v>
                </c:pt>
                <c:pt idx="18">
                  <c:v>58</c:v>
                </c:pt>
                <c:pt idx="19">
                  <c:v>59</c:v>
                </c:pt>
                <c:pt idx="20">
                  <c:v>60</c:v>
                </c:pt>
                <c:pt idx="21">
                  <c:v>61</c:v>
                </c:pt>
                <c:pt idx="22">
                  <c:v>62</c:v>
                </c:pt>
                <c:pt idx="23">
                  <c:v>63</c:v>
                </c:pt>
                <c:pt idx="24">
                  <c:v>64</c:v>
                </c:pt>
                <c:pt idx="25">
                  <c:v>65</c:v>
                </c:pt>
                <c:pt idx="26">
                  <c:v>66</c:v>
                </c:pt>
                <c:pt idx="27">
                  <c:v>67</c:v>
                </c:pt>
                <c:pt idx="28">
                  <c:v>68</c:v>
                </c:pt>
                <c:pt idx="29">
                  <c:v>69</c:v>
                </c:pt>
                <c:pt idx="30">
                  <c:v>70</c:v>
                </c:pt>
                <c:pt idx="31">
                  <c:v>71</c:v>
                </c:pt>
                <c:pt idx="32">
                  <c:v>73</c:v>
                </c:pt>
                <c:pt idx="33">
                  <c:v>74</c:v>
                </c:pt>
                <c:pt idx="34">
                  <c:v>75</c:v>
                </c:pt>
                <c:pt idx="35">
                  <c:v>76</c:v>
                </c:pt>
                <c:pt idx="36">
                  <c:v>77</c:v>
                </c:pt>
                <c:pt idx="37">
                  <c:v>78</c:v>
                </c:pt>
                <c:pt idx="38">
                  <c:v>79</c:v>
                </c:pt>
                <c:pt idx="39">
                  <c:v>80</c:v>
                </c:pt>
              </c:strCache>
            </c:strRef>
          </c:cat>
          <c:val>
            <c:numRef>
              <c:f>Pivot!$B$28:$B$67</c:f>
              <c:numCache>
                <c:formatCode>0.00%</c:formatCode>
                <c:ptCount val="40"/>
                <c:pt idx="0">
                  <c:v>3.6926982338744252E-2</c:v>
                </c:pt>
                <c:pt idx="1">
                  <c:v>4.3626614672191082E-2</c:v>
                </c:pt>
                <c:pt idx="2">
                  <c:v>7.2203869749882021E-2</c:v>
                </c:pt>
                <c:pt idx="3">
                  <c:v>1.0961968680089485E-2</c:v>
                </c:pt>
                <c:pt idx="4">
                  <c:v>5.2536640261103024E-2</c:v>
                </c:pt>
                <c:pt idx="5">
                  <c:v>3.4303082935301779E-2</c:v>
                </c:pt>
                <c:pt idx="6">
                  <c:v>3.0868223348750425E-2</c:v>
                </c:pt>
                <c:pt idx="7">
                  <c:v>1.1990407673860911E-2</c:v>
                </c:pt>
                <c:pt idx="8">
                  <c:v>2.7591965580587519E-2</c:v>
                </c:pt>
                <c:pt idx="9">
                  <c:v>4.8584411045089128E-2</c:v>
                </c:pt>
                <c:pt idx="10">
                  <c:v>5.8468198408619221E-2</c:v>
                </c:pt>
                <c:pt idx="11">
                  <c:v>3.6940298507462686E-2</c:v>
                </c:pt>
                <c:pt idx="12">
                  <c:v>1.9393954593618531E-2</c:v>
                </c:pt>
                <c:pt idx="13">
                  <c:v>5.4383132010769872E-2</c:v>
                </c:pt>
                <c:pt idx="14">
                  <c:v>6.9952717029753614E-2</c:v>
                </c:pt>
                <c:pt idx="15">
                  <c:v>4.6305883035338821E-2</c:v>
                </c:pt>
                <c:pt idx="16">
                  <c:v>4.6896688350921027E-2</c:v>
                </c:pt>
                <c:pt idx="17">
                  <c:v>3.1646964536165098E-2</c:v>
                </c:pt>
                <c:pt idx="18">
                  <c:v>3.9377865787086914E-2</c:v>
                </c:pt>
                <c:pt idx="19">
                  <c:v>2.6086771230418214E-2</c:v>
                </c:pt>
                <c:pt idx="20">
                  <c:v>8.2355201649772433E-2</c:v>
                </c:pt>
                <c:pt idx="21">
                  <c:v>5.5329683754027512E-2</c:v>
                </c:pt>
                <c:pt idx="22">
                  <c:v>5.3644818849300537E-2</c:v>
                </c:pt>
                <c:pt idx="23">
                  <c:v>4.0255550878120987E-2</c:v>
                </c:pt>
                <c:pt idx="24">
                  <c:v>0.17481409355716057</c:v>
                </c:pt>
                <c:pt idx="25">
                  <c:v>8.2216264521894553E-2</c:v>
                </c:pt>
                <c:pt idx="26">
                  <c:v>8.6089238439336829E-2</c:v>
                </c:pt>
                <c:pt idx="27">
                  <c:v>1.7768830427243955E-2</c:v>
                </c:pt>
                <c:pt idx="28">
                  <c:v>6.4685818208021995E-2</c:v>
                </c:pt>
                <c:pt idx="29">
                  <c:v>1.797842588893328E-2</c:v>
                </c:pt>
                <c:pt idx="30">
                  <c:v>2.0259740259740259E-2</c:v>
                </c:pt>
                <c:pt idx="31">
                  <c:v>4.736371760500447E-2</c:v>
                </c:pt>
                <c:pt idx="32">
                  <c:v>5.8231356257305654E-2</c:v>
                </c:pt>
                <c:pt idx="33">
                  <c:v>3.0644431568018174E-2</c:v>
                </c:pt>
                <c:pt idx="34">
                  <c:v>3.1117195328833863E-2</c:v>
                </c:pt>
                <c:pt idx="35">
                  <c:v>5.3078380772881885E-2</c:v>
                </c:pt>
                <c:pt idx="36">
                  <c:v>5.5025545186944559E-2</c:v>
                </c:pt>
                <c:pt idx="37">
                  <c:v>2.775553407909985E-2</c:v>
                </c:pt>
                <c:pt idx="38">
                  <c:v>8.8390501319261211E-2</c:v>
                </c:pt>
                <c:pt idx="39">
                  <c:v>3.7145650048875857E-2</c:v>
                </c:pt>
              </c:numCache>
            </c:numRef>
          </c:val>
          <c:smooth val="0"/>
          <c:extLst>
            <c:ext xmlns:c16="http://schemas.microsoft.com/office/drawing/2014/chart" uri="{C3380CC4-5D6E-409C-BE32-E72D297353CC}">
              <c16:uniqueId val="{00000000-144A-40C7-9F03-9AA88EF78F2E}"/>
            </c:ext>
          </c:extLst>
        </c:ser>
        <c:dLbls>
          <c:showLegendKey val="0"/>
          <c:showVal val="0"/>
          <c:showCatName val="0"/>
          <c:showSerName val="0"/>
          <c:showPercent val="0"/>
          <c:showBubbleSize val="0"/>
        </c:dLbls>
        <c:smooth val="0"/>
        <c:axId val="1494889439"/>
        <c:axId val="1494891519"/>
      </c:lineChart>
      <c:catAx>
        <c:axId val="1494889439"/>
        <c:scaling>
          <c:orientation val="minMax"/>
        </c:scaling>
        <c:delete val="0"/>
        <c:axPos val="b"/>
        <c:title>
          <c:tx>
            <c:rich>
              <a:bodyPr rot="0" spcFirstLastPara="1" vertOverflow="ellipsis" vert="horz" wrap="square" anchor="b"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800" b="0">
                    <a:latin typeface="Times New Roman" panose="02020603050405020304" pitchFamily="18" charset="0"/>
                    <a:cs typeface="Times New Roman" panose="02020603050405020304" pitchFamily="18" charset="0"/>
                  </a:rPr>
                  <a:t>Workload</a:t>
                </a:r>
              </a:p>
            </c:rich>
          </c:tx>
          <c:layout>
            <c:manualLayout>
              <c:xMode val="edge"/>
              <c:yMode val="edge"/>
              <c:x val="0.47713011443858111"/>
              <c:y val="0.79132039867565585"/>
            </c:manualLayout>
          </c:layout>
          <c:overlay val="0"/>
          <c:spPr>
            <a:noFill/>
            <a:ln>
              <a:noFill/>
            </a:ln>
            <a:effectLst/>
          </c:spPr>
          <c:txPr>
            <a:bodyPr rot="0" spcFirstLastPara="1" vertOverflow="ellipsis" vert="horz" wrap="square" anchor="b"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94891519"/>
        <c:crosses val="autoZero"/>
        <c:auto val="1"/>
        <c:lblAlgn val="ctr"/>
        <c:lblOffset val="100"/>
        <c:noMultiLvlLbl val="0"/>
      </c:catAx>
      <c:valAx>
        <c:axId val="1494891519"/>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CBR</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9488943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Dashboard.xlsm]Pivot!PivotTable8</c:name>
    <c:fmtId val="0"/>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Revenue Impact</a:t>
            </a:r>
            <a:r>
              <a:rPr lang="en-US" sz="900" b="1" baseline="0">
                <a:latin typeface="Times New Roman" panose="02020603050405020304" pitchFamily="18" charset="0"/>
                <a:cs typeface="Times New Roman" panose="02020603050405020304" pitchFamily="18" charset="0"/>
              </a:rPr>
              <a:t> per Industry</a:t>
            </a:r>
            <a:endParaRPr lang="en-US" sz="900" b="1">
              <a:latin typeface="Times New Roman" panose="02020603050405020304" pitchFamily="18" charset="0"/>
              <a:cs typeface="Times New Roman" panose="02020603050405020304" pitchFamily="18" charset="0"/>
            </a:endParaRPr>
          </a:p>
        </c:rich>
      </c:tx>
      <c:layout>
        <c:manualLayout>
          <c:xMode val="edge"/>
          <c:yMode val="edge"/>
          <c:x val="0.26584436226130564"/>
          <c:y val="2.8985507246376812E-2"/>
        </c:manualLayout>
      </c:layout>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solidFill>
              <a:schemeClr val="accent1"/>
            </a:solidFill>
          </a:ln>
          <a:effectLst/>
        </c:spPr>
        <c:marker>
          <c:symbol val="none"/>
        </c:marker>
      </c:pivotFmt>
    </c:pivotFmts>
    <c:plotArea>
      <c:layout/>
      <c:barChart>
        <c:barDir val="bar"/>
        <c:grouping val="clustered"/>
        <c:varyColors val="0"/>
        <c:ser>
          <c:idx val="0"/>
          <c:order val="0"/>
          <c:tx>
            <c:strRef>
              <c:f>Pivot!$B$70</c:f>
              <c:strCache>
                <c:ptCount val="1"/>
                <c:pt idx="0">
                  <c:v>Total</c:v>
                </c:pt>
              </c:strCache>
            </c:strRef>
          </c:tx>
          <c:spPr>
            <a:gradFill flip="none" rotWithShape="1">
              <a:gsLst>
                <a:gs pos="0">
                  <a:schemeClr val="accent4">
                    <a:lumMod val="40000"/>
                    <a:lumOff val="60000"/>
                  </a:schemeClr>
                </a:gs>
                <a:gs pos="46000">
                  <a:schemeClr val="accent4">
                    <a:lumMod val="95000"/>
                    <a:lumOff val="5000"/>
                  </a:schemeClr>
                </a:gs>
                <a:gs pos="100000">
                  <a:schemeClr val="accent4">
                    <a:lumMod val="60000"/>
                  </a:schemeClr>
                </a:gs>
              </a:gsLst>
              <a:path path="circle">
                <a:fillToRect l="50000" t="130000" r="50000" b="-30000"/>
              </a:path>
              <a:tileRect/>
            </a:gradFill>
            <a:ln>
              <a:solidFill>
                <a:schemeClr val="accent1"/>
              </a:solidFill>
            </a:ln>
            <a:effectLst/>
          </c:spPr>
          <c:invertIfNegative val="0"/>
          <c:cat>
            <c:strRef>
              <c:f>Pivot!$A$71:$A$74</c:f>
              <c:strCache>
                <c:ptCount val="4"/>
                <c:pt idx="0">
                  <c:v>Finance</c:v>
                </c:pt>
                <c:pt idx="1">
                  <c:v>Healthcare</c:v>
                </c:pt>
                <c:pt idx="2">
                  <c:v>Retail</c:v>
                </c:pt>
                <c:pt idx="3">
                  <c:v>Tech</c:v>
                </c:pt>
              </c:strCache>
            </c:strRef>
          </c:cat>
          <c:val>
            <c:numRef>
              <c:f>Pivot!$B$71:$B$74</c:f>
              <c:numCache>
                <c:formatCode>"$"#,##0</c:formatCode>
                <c:ptCount val="4"/>
                <c:pt idx="0">
                  <c:v>5940200000</c:v>
                </c:pt>
                <c:pt idx="1">
                  <c:v>5475590000</c:v>
                </c:pt>
                <c:pt idx="2">
                  <c:v>8696300000</c:v>
                </c:pt>
                <c:pt idx="3">
                  <c:v>7141810000</c:v>
                </c:pt>
              </c:numCache>
            </c:numRef>
          </c:val>
          <c:extLst>
            <c:ext xmlns:c16="http://schemas.microsoft.com/office/drawing/2014/chart" uri="{C3380CC4-5D6E-409C-BE32-E72D297353CC}">
              <c16:uniqueId val="{00000000-0D50-480E-87A5-9130292B0F44}"/>
            </c:ext>
          </c:extLst>
        </c:ser>
        <c:dLbls>
          <c:showLegendKey val="0"/>
          <c:showVal val="0"/>
          <c:showCatName val="0"/>
          <c:showSerName val="0"/>
          <c:showPercent val="0"/>
          <c:showBubbleSize val="0"/>
        </c:dLbls>
        <c:gapWidth val="182"/>
        <c:axId val="1489802591"/>
        <c:axId val="1489800511"/>
      </c:barChart>
      <c:catAx>
        <c:axId val="1489802591"/>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Industry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89800511"/>
        <c:crosses val="autoZero"/>
        <c:auto val="1"/>
        <c:lblAlgn val="ctr"/>
        <c:lblOffset val="100"/>
        <c:noMultiLvlLbl val="0"/>
      </c:catAx>
      <c:valAx>
        <c:axId val="1489800511"/>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a:latin typeface="Times New Roman" panose="02020603050405020304" pitchFamily="18" charset="0"/>
                    <a:cs typeface="Times New Roman" panose="02020603050405020304" pitchFamily="18" charset="0"/>
                  </a:rPr>
                  <a:t>Total Reveue Impact (USD)</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898025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Dashboard.xlsm]Pivot!PivotTable9</c:name>
    <c:fmtId val="0"/>
  </c:pivotSource>
  <c:chart>
    <c:title>
      <c:tx>
        <c:rich>
          <a:bodyPr rot="0" spcFirstLastPara="1" vertOverflow="ellipsis" vert="horz" wrap="square" anchor="ctr" anchorCtr="1"/>
          <a:lstStyle/>
          <a:p>
            <a:pPr>
              <a:defRPr sz="8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800" b="1" baseline="0">
                <a:latin typeface="Times New Roman" panose="02020603050405020304" pitchFamily="18" charset="0"/>
                <a:cs typeface="Times New Roman" panose="02020603050405020304" pitchFamily="18" charset="0"/>
              </a:rPr>
              <a:t>Efficiency Ratio per Workload Category</a:t>
            </a:r>
            <a:endParaRPr lang="en-US" sz="8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8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Pivot!$E$30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9D-41FB-856F-9EA975F6BE1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9D-41FB-856F-9EA975F6BE1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9D-41FB-856F-9EA975F6BE1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17D-43E4-891C-8F150E9A971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Georgia" panose="02040502050405020303" pitchFamily="18"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Pivot!$D$31:$D$34</c:f>
              <c:strCache>
                <c:ptCount val="4"/>
                <c:pt idx="0">
                  <c:v>Deloitte</c:v>
                </c:pt>
                <c:pt idx="1">
                  <c:v>Ernst &amp; Young</c:v>
                </c:pt>
                <c:pt idx="2">
                  <c:v>KPMG</c:v>
                </c:pt>
                <c:pt idx="3">
                  <c:v>PwC</c:v>
                </c:pt>
              </c:strCache>
            </c:strRef>
          </c:cat>
          <c:val>
            <c:numRef>
              <c:f>Pivot!$E$31:$E$34</c:f>
              <c:numCache>
                <c:formatCode>0.00</c:formatCode>
                <c:ptCount val="4"/>
                <c:pt idx="0">
                  <c:v>0.81963353539844119</c:v>
                </c:pt>
                <c:pt idx="1">
                  <c:v>0.7417170123680783</c:v>
                </c:pt>
                <c:pt idx="2">
                  <c:v>1.0588042987808917</c:v>
                </c:pt>
                <c:pt idx="3">
                  <c:v>1.0218435573772162</c:v>
                </c:pt>
              </c:numCache>
            </c:numRef>
          </c:val>
          <c:extLst>
            <c:ext xmlns:c16="http://schemas.microsoft.com/office/drawing/2014/chart" uri="{C3380CC4-5D6E-409C-BE32-E72D297353CC}">
              <c16:uniqueId val="{00000000-BCB4-4813-A986-62905118A4A7}"/>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700" b="0" i="1"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Dashboard.xlsm]Pivot!PivotTable3</c:name>
    <c:fmtId val="1"/>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900" b="1">
                <a:latin typeface="Times New Roman" panose="02020603050405020304" pitchFamily="18" charset="0"/>
                <a:cs typeface="Times New Roman" panose="02020603050405020304" pitchFamily="18" charset="0"/>
              </a:rPr>
              <a:t>Compliance Breach Rate by Industry</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Pivot!$E$42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Pivot!$D$43:$D$46</c:f>
              <c:strCache>
                <c:ptCount val="4"/>
                <c:pt idx="0">
                  <c:v>Finance</c:v>
                </c:pt>
                <c:pt idx="1">
                  <c:v>Healthcare</c:v>
                </c:pt>
                <c:pt idx="2">
                  <c:v>Retail</c:v>
                </c:pt>
                <c:pt idx="3">
                  <c:v>Tech</c:v>
                </c:pt>
              </c:strCache>
            </c:strRef>
          </c:cat>
          <c:val>
            <c:numRef>
              <c:f>Pivot!$E$43:$E$46</c:f>
              <c:numCache>
                <c:formatCode>0.00%;\-0.00%;0.00%</c:formatCode>
                <c:ptCount val="4"/>
                <c:pt idx="0">
                  <c:v>3.5126720525993173E-2</c:v>
                </c:pt>
                <c:pt idx="1">
                  <c:v>5.3973084719822671E-2</c:v>
                </c:pt>
                <c:pt idx="2">
                  <c:v>5.8809415868533457E-2</c:v>
                </c:pt>
                <c:pt idx="3">
                  <c:v>4.7013804364691554E-2</c:v>
                </c:pt>
              </c:numCache>
            </c:numRef>
          </c:val>
          <c:extLst>
            <c:ext xmlns:c16="http://schemas.microsoft.com/office/drawing/2014/chart" uri="{C3380CC4-5D6E-409C-BE32-E72D297353CC}">
              <c16:uniqueId val="{00000000-AB4A-488A-BE90-587F923C1F09}"/>
            </c:ext>
          </c:extLst>
        </c:ser>
        <c:dLbls>
          <c:dLblPos val="outEnd"/>
          <c:showLegendKey val="0"/>
          <c:showVal val="1"/>
          <c:showCatName val="0"/>
          <c:showSerName val="0"/>
          <c:showPercent val="0"/>
          <c:showBubbleSize val="0"/>
        </c:dLbls>
        <c:gapWidth val="182"/>
        <c:axId val="1424168895"/>
        <c:axId val="1424163903"/>
      </c:barChart>
      <c:catAx>
        <c:axId val="142416889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3903"/>
        <c:crosses val="autoZero"/>
        <c:auto val="1"/>
        <c:lblAlgn val="ctr"/>
        <c:lblOffset val="100"/>
        <c:noMultiLvlLbl val="0"/>
      </c:catAx>
      <c:valAx>
        <c:axId val="14241639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CBR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88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[AuditGuard Excel Dashboard.xlsm]Pivot!PivotTable11</c:name>
    <c:fmtId val="0"/>
  </c:pivotSource>
  <c:chart>
    <c:title>
      <c:tx>
        <c:rich>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sz="1000" b="1">
                <a:latin typeface="Times New Roman" panose="02020603050405020304" pitchFamily="18" charset="0"/>
                <a:cs typeface="Times New Roman" panose="02020603050405020304" pitchFamily="18" charset="0"/>
              </a:rPr>
              <a:t>Client Satisfaction</a:t>
            </a:r>
            <a:r>
              <a:rPr lang="en-US" sz="1000" b="1" baseline="0">
                <a:latin typeface="Times New Roman" panose="02020603050405020304" pitchFamily="18" charset="0"/>
                <a:cs typeface="Times New Roman" panose="02020603050405020304" pitchFamily="18" charset="0"/>
              </a:rPr>
              <a:t> Score by Industry</a:t>
            </a:r>
            <a:endParaRPr lang="en-US" sz="10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00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Pivot!$E$51</c:f>
              <c:strCache>
                <c:ptCount val="1"/>
                <c:pt idx="0">
                  <c:v>Total</c:v>
                </c:pt>
              </c:strCache>
            </c:strRef>
          </c:tx>
          <c:spPr>
            <a:solidFill>
              <a:schemeClr val="accent1"/>
            </a:solidFill>
            <a:ln>
              <a:noFill/>
            </a:ln>
            <a:effectLst/>
          </c:spPr>
          <c:invertIfNegative val="0"/>
          <c:cat>
            <c:strRef>
              <c:f>Pivot!$D$52:$D$55</c:f>
              <c:strCache>
                <c:ptCount val="4"/>
                <c:pt idx="0">
                  <c:v>Finance</c:v>
                </c:pt>
                <c:pt idx="1">
                  <c:v>Healthcare</c:v>
                </c:pt>
                <c:pt idx="2">
                  <c:v>Retail</c:v>
                </c:pt>
                <c:pt idx="3">
                  <c:v>Tech</c:v>
                </c:pt>
              </c:strCache>
            </c:strRef>
          </c:cat>
          <c:val>
            <c:numRef>
              <c:f>Pivot!$E$52:$E$55</c:f>
              <c:numCache>
                <c:formatCode>0.00</c:formatCode>
                <c:ptCount val="4"/>
                <c:pt idx="0">
                  <c:v>7.0650000000000004</c:v>
                </c:pt>
                <c:pt idx="1">
                  <c:v>7.6333333333333329</c:v>
                </c:pt>
                <c:pt idx="2">
                  <c:v>7.4481481481481477</c:v>
                </c:pt>
                <c:pt idx="3">
                  <c:v>7.1827586206896559</c:v>
                </c:pt>
              </c:numCache>
            </c:numRef>
          </c:val>
          <c:extLst>
            <c:ext xmlns:c16="http://schemas.microsoft.com/office/drawing/2014/chart" uri="{C3380CC4-5D6E-409C-BE32-E72D297353CC}">
              <c16:uniqueId val="{00000000-E704-4A1A-AE61-D40F85C9EAF3}"/>
            </c:ext>
          </c:extLst>
        </c:ser>
        <c:dLbls>
          <c:showLegendKey val="0"/>
          <c:showVal val="0"/>
          <c:showCatName val="0"/>
          <c:showSerName val="0"/>
          <c:showPercent val="0"/>
          <c:showBubbleSize val="0"/>
        </c:dLbls>
        <c:gapWidth val="219"/>
        <c:overlap val="-27"/>
        <c:axId val="1424160991"/>
        <c:axId val="1424163071"/>
      </c:barChart>
      <c:catAx>
        <c:axId val="142416099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Industry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3071"/>
        <c:crosses val="autoZero"/>
        <c:auto val="1"/>
        <c:lblAlgn val="ctr"/>
        <c:lblOffset val="100"/>
        <c:noMultiLvlLbl val="0"/>
      </c:catAx>
      <c:valAx>
        <c:axId val="1424163071"/>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a:latin typeface="Times New Roman" panose="02020603050405020304" pitchFamily="18" charset="0"/>
                    <a:cs typeface="Times New Roman" panose="02020603050405020304" pitchFamily="18" charset="0"/>
                  </a:rPr>
                  <a:t>CSS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4241609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3.xml"/><Relationship Id="rId7" Type="http://schemas.openxmlformats.org/officeDocument/2006/relationships/hyperlink" Target="#Recommendations!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Dashboard!A1"/><Relationship Id="rId5" Type="http://schemas.openxmlformats.org/officeDocument/2006/relationships/image" Target="../media/image1.jpeg"/><Relationship Id="rId4" Type="http://schemas.openxmlformats.org/officeDocument/2006/relationships/chart" Target="../charts/chart4.xml"/><Relationship Id="rId9" Type="http://schemas.openxmlformats.org/officeDocument/2006/relationships/chart" Target="../charts/chart6.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hyperlink" Target="#Recommendations!A1"/><Relationship Id="rId2" Type="http://schemas.openxmlformats.org/officeDocument/2006/relationships/hyperlink" Target="#Dashboard!A1"/><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209550</xdr:colOff>
      <xdr:row>3</xdr:row>
      <xdr:rowOff>76201</xdr:rowOff>
    </xdr:from>
    <xdr:to>
      <xdr:col>3</xdr:col>
      <xdr:colOff>533400</xdr:colOff>
      <xdr:row>32</xdr:row>
      <xdr:rowOff>38100</xdr:rowOff>
    </xdr:to>
    <xdr:sp macro="" textlink="">
      <xdr:nvSpPr>
        <xdr:cNvPr id="3" name="Rounded Rectangle 2"/>
        <xdr:cNvSpPr/>
      </xdr:nvSpPr>
      <xdr:spPr>
        <a:xfrm>
          <a:off x="209550" y="647701"/>
          <a:ext cx="2152650" cy="5486399"/>
        </a:xfrm>
        <a:prstGeom prst="roundRect">
          <a:avLst/>
        </a:prstGeom>
        <a:solidFill>
          <a:srgbClr val="002060"/>
        </a:solidFill>
        <a:ln>
          <a:solidFill>
            <a:schemeClr val="accent5">
              <a:lumMod val="50000"/>
            </a:schemeClr>
          </a:solidFill>
        </a:ln>
        <a:effectLst>
          <a:glow rad="63500">
            <a:schemeClr val="accent5">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19049</xdr:colOff>
      <xdr:row>0</xdr:row>
      <xdr:rowOff>19050</xdr:rowOff>
    </xdr:from>
    <xdr:to>
      <xdr:col>20</xdr:col>
      <xdr:colOff>158750</xdr:colOff>
      <xdr:row>2</xdr:row>
      <xdr:rowOff>171450</xdr:rowOff>
    </xdr:to>
    <xdr:sp macro="" textlink="">
      <xdr:nvSpPr>
        <xdr:cNvPr id="2" name="TextBox 1"/>
        <xdr:cNvSpPr txBox="1"/>
      </xdr:nvSpPr>
      <xdr:spPr>
        <a:xfrm>
          <a:off x="19049" y="19050"/>
          <a:ext cx="12331701" cy="533400"/>
        </a:xfrm>
        <a:prstGeom prst="rect">
          <a:avLst/>
        </a:prstGeom>
        <a:solidFill>
          <a:srgbClr val="002060"/>
        </a:solidFill>
        <a:ln w="9525" cmpd="sng">
          <a:noFill/>
        </a:ln>
        <a:effectLst>
          <a:glow rad="38100">
            <a:schemeClr val="accent5">
              <a:satMod val="175000"/>
              <a:alpha val="40000"/>
            </a:scheme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b="0">
              <a:latin typeface="Times New Roman" panose="02020603050405020304" pitchFamily="18" charset="0"/>
              <a:cs typeface="Times New Roman" panose="02020603050405020304" pitchFamily="18" charset="0"/>
            </a:rPr>
            <a:t>AuditGuard: AI-Powered Risk &amp; Compliance Insights, 2020-2025</a:t>
          </a:r>
        </a:p>
      </xdr:txBody>
    </xdr:sp>
    <xdr:clientData/>
  </xdr:twoCellAnchor>
  <xdr:twoCellAnchor>
    <xdr:from>
      <xdr:col>15</xdr:col>
      <xdr:colOff>425286</xdr:colOff>
      <xdr:row>10</xdr:row>
      <xdr:rowOff>66674</xdr:rowOff>
    </xdr:from>
    <xdr:to>
      <xdr:col>19</xdr:col>
      <xdr:colOff>514349</xdr:colOff>
      <xdr:row>20</xdr:row>
      <xdr:rowOff>66675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66676</xdr:colOff>
      <xdr:row>10</xdr:row>
      <xdr:rowOff>47625</xdr:rowOff>
    </xdr:from>
    <xdr:to>
      <xdr:col>9</xdr:col>
      <xdr:colOff>542926</xdr:colOff>
      <xdr:row>20</xdr:row>
      <xdr:rowOff>66675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47626</xdr:colOff>
      <xdr:row>10</xdr:row>
      <xdr:rowOff>57150</xdr:rowOff>
    </xdr:from>
    <xdr:to>
      <xdr:col>15</xdr:col>
      <xdr:colOff>285750</xdr:colOff>
      <xdr:row>20</xdr:row>
      <xdr:rowOff>57150</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428625</xdr:colOff>
      <xdr:row>21</xdr:row>
      <xdr:rowOff>66675</xdr:rowOff>
    </xdr:from>
    <xdr:to>
      <xdr:col>19</xdr:col>
      <xdr:colOff>523875</xdr:colOff>
      <xdr:row>31</xdr:row>
      <xdr:rowOff>76200</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295275</xdr:colOff>
      <xdr:row>4</xdr:row>
      <xdr:rowOff>133351</xdr:rowOff>
    </xdr:from>
    <xdr:to>
      <xdr:col>3</xdr:col>
      <xdr:colOff>485775</xdr:colOff>
      <xdr:row>9</xdr:row>
      <xdr:rowOff>171451</xdr:rowOff>
    </xdr:to>
    <mc:AlternateContent xmlns:mc="http://schemas.openxmlformats.org/markup-compatibility/2006" xmlns:a14="http://schemas.microsoft.com/office/drawing/2010/main">
      <mc:Choice Requires="a14">
        <xdr:graphicFrame macro="">
          <xdr:nvGraphicFramePr>
            <xdr:cNvPr id="72" name="Industry_Affected 1"/>
            <xdr:cNvGraphicFramePr/>
          </xdr:nvGraphicFramePr>
          <xdr:xfrm>
            <a:off x="0" y="0"/>
            <a:ext cx="0" cy="0"/>
          </xdr:xfrm>
          <a:graphic>
            <a:graphicData uri="http://schemas.microsoft.com/office/drawing/2010/slicer">
              <sle:slicer xmlns:sle="http://schemas.microsoft.com/office/drawing/2010/slicer" name="Industry_Affected 1"/>
            </a:graphicData>
          </a:graphic>
        </xdr:graphicFrame>
      </mc:Choice>
      <mc:Fallback xmlns="">
        <xdr:sp macro="" textlink="">
          <xdr:nvSpPr>
            <xdr:cNvPr id="0" name=""/>
            <xdr:cNvSpPr>
              <a:spLocks noTextEdit="1"/>
            </xdr:cNvSpPr>
          </xdr:nvSpPr>
          <xdr:spPr>
            <a:xfrm>
              <a:off x="295275" y="895351"/>
              <a:ext cx="2019300" cy="990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295274</xdr:colOff>
      <xdr:row>10</xdr:row>
      <xdr:rowOff>142875</xdr:rowOff>
    </xdr:from>
    <xdr:to>
      <xdr:col>3</xdr:col>
      <xdr:colOff>476249</xdr:colOff>
      <xdr:row>14</xdr:row>
      <xdr:rowOff>19050</xdr:rowOff>
    </xdr:to>
    <mc:AlternateContent xmlns:mc="http://schemas.openxmlformats.org/markup-compatibility/2006" xmlns:a14="http://schemas.microsoft.com/office/drawing/2010/main">
      <mc:Choice Requires="a14">
        <xdr:graphicFrame macro="">
          <xdr:nvGraphicFramePr>
            <xdr:cNvPr id="73" name="AI_Used_for_Auditing 1"/>
            <xdr:cNvGraphicFramePr/>
          </xdr:nvGraphicFramePr>
          <xdr:xfrm>
            <a:off x="0" y="0"/>
            <a:ext cx="0" cy="0"/>
          </xdr:xfrm>
          <a:graphic>
            <a:graphicData uri="http://schemas.microsoft.com/office/drawing/2010/slicer">
              <sle:slicer xmlns:sle="http://schemas.microsoft.com/office/drawing/2010/slicer" name="AI_Used_for_Auditing 1"/>
            </a:graphicData>
          </a:graphic>
        </xdr:graphicFrame>
      </mc:Choice>
      <mc:Fallback xmlns="">
        <xdr:sp macro="" textlink="">
          <xdr:nvSpPr>
            <xdr:cNvPr id="0" name=""/>
            <xdr:cNvSpPr>
              <a:spLocks noTextEdit="1"/>
            </xdr:cNvSpPr>
          </xdr:nvSpPr>
          <xdr:spPr>
            <a:xfrm>
              <a:off x="295274" y="2047875"/>
              <a:ext cx="2009775" cy="638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295275</xdr:colOff>
      <xdr:row>15</xdr:row>
      <xdr:rowOff>38100</xdr:rowOff>
    </xdr:from>
    <xdr:to>
      <xdr:col>3</xdr:col>
      <xdr:colOff>466725</xdr:colOff>
      <xdr:row>18</xdr:row>
      <xdr:rowOff>133350</xdr:rowOff>
    </xdr:to>
    <mc:AlternateContent xmlns:mc="http://schemas.openxmlformats.org/markup-compatibility/2006" xmlns:a14="http://schemas.microsoft.com/office/drawing/2010/main">
      <mc:Choice Requires="a14">
        <xdr:graphicFrame macro="">
          <xdr:nvGraphicFramePr>
            <xdr:cNvPr id="74" name="Workload_Category 1"/>
            <xdr:cNvGraphicFramePr/>
          </xdr:nvGraphicFramePr>
          <xdr:xfrm>
            <a:off x="0" y="0"/>
            <a:ext cx="0" cy="0"/>
          </xdr:xfrm>
          <a:graphic>
            <a:graphicData uri="http://schemas.microsoft.com/office/drawing/2010/slicer">
              <sle:slicer xmlns:sle="http://schemas.microsoft.com/office/drawing/2010/slicer" name="Workload_Category 1"/>
            </a:graphicData>
          </a:graphic>
        </xdr:graphicFrame>
      </mc:Choice>
      <mc:Fallback xmlns="">
        <xdr:sp macro="" textlink="">
          <xdr:nvSpPr>
            <xdr:cNvPr id="0" name=""/>
            <xdr:cNvSpPr>
              <a:spLocks noTextEdit="1"/>
            </xdr:cNvSpPr>
          </xdr:nvSpPr>
          <xdr:spPr>
            <a:xfrm>
              <a:off x="295275" y="2895600"/>
              <a:ext cx="2000250" cy="666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304799</xdr:colOff>
      <xdr:row>19</xdr:row>
      <xdr:rowOff>142875</xdr:rowOff>
    </xdr:from>
    <xdr:to>
      <xdr:col>3</xdr:col>
      <xdr:colOff>466724</xdr:colOff>
      <xdr:row>25</xdr:row>
      <xdr:rowOff>161925</xdr:rowOff>
    </xdr:to>
    <mc:AlternateContent xmlns:mc="http://schemas.openxmlformats.org/markup-compatibility/2006" xmlns:a14="http://schemas.microsoft.com/office/drawing/2010/main">
      <mc:Choice Requires="a14">
        <xdr:graphicFrame macro="">
          <xdr:nvGraphicFramePr>
            <xdr:cNvPr id="75"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04799" y="3762375"/>
              <a:ext cx="1990725" cy="1162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57150</xdr:colOff>
      <xdr:row>3</xdr:row>
      <xdr:rowOff>66675</xdr:rowOff>
    </xdr:from>
    <xdr:to>
      <xdr:col>9</xdr:col>
      <xdr:colOff>209549</xdr:colOff>
      <xdr:row>8</xdr:row>
      <xdr:rowOff>152401</xdr:rowOff>
    </xdr:to>
    <xdr:grpSp>
      <xdr:nvGrpSpPr>
        <xdr:cNvPr id="76" name="Group 75"/>
        <xdr:cNvGrpSpPr/>
      </xdr:nvGrpSpPr>
      <xdr:grpSpPr>
        <a:xfrm>
          <a:off x="4324350" y="638175"/>
          <a:ext cx="1371599" cy="1038226"/>
          <a:chOff x="4571999" y="3663695"/>
          <a:chExt cx="1770530" cy="1255687"/>
        </a:xfrm>
        <a:effectLst>
          <a:outerShdw blurRad="50800" dist="38100" dir="13500000" algn="br" rotWithShape="0">
            <a:prstClr val="black">
              <a:alpha val="40000"/>
            </a:prstClr>
          </a:outerShdw>
        </a:effectLst>
      </xdr:grpSpPr>
      <xdr:sp macro="" textlink="Pivot!$D$39">
        <xdr:nvSpPr>
          <xdr:cNvPr id="77" name="Flowchart: Terminator 76"/>
          <xdr:cNvSpPr/>
        </xdr:nvSpPr>
        <xdr:spPr>
          <a:xfrm>
            <a:off x="4571999" y="3663695"/>
            <a:ext cx="1770530" cy="85227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03B972B-C87F-424B-B8B3-61AAB4251ABA}" type="TxLink">
              <a:rPr lang="en-US" sz="1100" b="1" i="0" u="none" strike="noStrike">
                <a:solidFill>
                  <a:srgbClr val="000000"/>
                </a:solidFill>
                <a:latin typeface="Georgia" panose="02040502050405020303" pitchFamily="18" charset="0"/>
                <a:cs typeface="Calibri"/>
              </a:rPr>
              <a:pPr algn="ctr"/>
              <a:t>60.25</a:t>
            </a:fld>
            <a:endParaRPr lang="en-US" sz="1200" b="1">
              <a:latin typeface="Georgia" panose="02040502050405020303" pitchFamily="18" charset="0"/>
            </a:endParaRPr>
          </a:p>
        </xdr:txBody>
      </xdr:sp>
      <xdr:sp macro="" textlink="Pivot!$D$38">
        <xdr:nvSpPr>
          <xdr:cNvPr id="78" name="TextBox 77"/>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FAA5AB-31A0-4A56-B500-D2F8056DBE16}" type="TxLink">
              <a:rPr lang="en-US" sz="900" b="0" i="0" u="none" strike="noStrike">
                <a:solidFill>
                  <a:srgbClr val="000000"/>
                </a:solidFill>
                <a:latin typeface="Calisto MT" panose="02040603050505030304" pitchFamily="18" charset="0"/>
                <a:cs typeface="Calibri"/>
              </a:rPr>
              <a:pPr algn="ctr"/>
              <a:t>Avg Employee Workload</a:t>
            </a:fld>
            <a:endParaRPr lang="en-US" sz="400" b="0">
              <a:latin typeface="Calisto MT" panose="02040603050505030304" pitchFamily="18" charset="0"/>
              <a:cs typeface="Times New Roman" panose="02020603050405020304" pitchFamily="18" charset="0"/>
            </a:endParaRPr>
          </a:p>
        </xdr:txBody>
      </xdr:sp>
    </xdr:grpSp>
    <xdr:clientData/>
  </xdr:twoCellAnchor>
  <xdr:twoCellAnchor>
    <xdr:from>
      <xdr:col>4</xdr:col>
      <xdr:colOff>133350</xdr:colOff>
      <xdr:row>3</xdr:row>
      <xdr:rowOff>66674</xdr:rowOff>
    </xdr:from>
    <xdr:to>
      <xdr:col>6</xdr:col>
      <xdr:colOff>571500</xdr:colOff>
      <xdr:row>8</xdr:row>
      <xdr:rowOff>152399</xdr:rowOff>
    </xdr:to>
    <xdr:grpSp>
      <xdr:nvGrpSpPr>
        <xdr:cNvPr id="79" name="Group 78"/>
        <xdr:cNvGrpSpPr/>
      </xdr:nvGrpSpPr>
      <xdr:grpSpPr>
        <a:xfrm>
          <a:off x="2571750" y="638174"/>
          <a:ext cx="1657350" cy="1038225"/>
          <a:chOff x="4571999" y="3686735"/>
          <a:chExt cx="1770530" cy="1232647"/>
        </a:xfrm>
        <a:effectLst>
          <a:outerShdw blurRad="50800" dist="38100" dir="13500000" algn="br" rotWithShape="0">
            <a:prstClr val="black">
              <a:alpha val="40000"/>
            </a:prstClr>
          </a:outerShdw>
        </a:effectLst>
      </xdr:grpSpPr>
      <xdr:sp macro="" textlink="Pivot!$E$39">
        <xdr:nvSpPr>
          <xdr:cNvPr id="80" name="Flowchart: Terminator 79"/>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36098E2-4737-419D-89B4-D7891B8367B6}" type="TxLink">
              <a:rPr lang="en-US" sz="1100" b="1" i="0" u="none" strike="noStrike">
                <a:solidFill>
                  <a:srgbClr val="000000"/>
                </a:solidFill>
                <a:latin typeface="Georgia" panose="02040502050405020303" pitchFamily="18" charset="0"/>
                <a:cs typeface="Calibri"/>
              </a:rPr>
              <a:pPr algn="ctr"/>
              <a:t>$27,253,900,000</a:t>
            </a:fld>
            <a:endParaRPr lang="en-US" sz="1800" b="1">
              <a:latin typeface="Georgia" panose="02040502050405020303" pitchFamily="18" charset="0"/>
            </a:endParaRPr>
          </a:p>
        </xdr:txBody>
      </xdr:sp>
      <xdr:sp macro="" textlink="Pivot!$E$38">
        <xdr:nvSpPr>
          <xdr:cNvPr id="81" name="TextBox 80"/>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12FF3E-DD33-47A9-A7B1-B73D6637D16B}" type="TxLink">
              <a:rPr lang="en-US" sz="900" b="0" i="0" u="none" strike="noStrike">
                <a:solidFill>
                  <a:srgbClr val="000000"/>
                </a:solidFill>
                <a:latin typeface="Calisto MT" panose="02040603050505030304" pitchFamily="18" charset="0"/>
                <a:cs typeface="Calibri"/>
              </a:rPr>
              <a:pPr algn="ctr"/>
              <a:t>Revenue Impact</a:t>
            </a:fld>
            <a:endParaRPr lang="en-US" sz="500" b="0">
              <a:latin typeface="Calisto MT" panose="02040603050505030304" pitchFamily="18" charset="0"/>
              <a:cs typeface="Times New Roman" panose="02020603050405020304" pitchFamily="18" charset="0"/>
            </a:endParaRPr>
          </a:p>
        </xdr:txBody>
      </xdr:sp>
    </xdr:grpSp>
    <xdr:clientData/>
  </xdr:twoCellAnchor>
  <xdr:twoCellAnchor>
    <xdr:from>
      <xdr:col>12</xdr:col>
      <xdr:colOff>276225</xdr:colOff>
      <xdr:row>3</xdr:row>
      <xdr:rowOff>76201</xdr:rowOff>
    </xdr:from>
    <xdr:to>
      <xdr:col>15</xdr:col>
      <xdr:colOff>142875</xdr:colOff>
      <xdr:row>8</xdr:row>
      <xdr:rowOff>152401</xdr:rowOff>
    </xdr:to>
    <xdr:grpSp>
      <xdr:nvGrpSpPr>
        <xdr:cNvPr id="82" name="Group 81"/>
        <xdr:cNvGrpSpPr/>
      </xdr:nvGrpSpPr>
      <xdr:grpSpPr>
        <a:xfrm>
          <a:off x="7591425" y="647701"/>
          <a:ext cx="1695450" cy="1028700"/>
          <a:chOff x="4571999" y="3686735"/>
          <a:chExt cx="1770530" cy="1232647"/>
        </a:xfrm>
        <a:effectLst>
          <a:outerShdw blurRad="50800" dist="38100" dir="13500000" algn="br" rotWithShape="0">
            <a:prstClr val="black">
              <a:alpha val="40000"/>
            </a:prstClr>
          </a:outerShdw>
        </a:effectLst>
      </xdr:grpSpPr>
      <xdr:sp macro="" textlink="Pivot!$G$39">
        <xdr:nvSpPr>
          <xdr:cNvPr id="83" name="Flowchart: Terminator 82"/>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7FB2631-433B-4B34-9142-B8C2FC723C2E}" type="TxLink">
              <a:rPr lang="en-US" sz="1100" b="1" i="0" u="none" strike="noStrike">
                <a:solidFill>
                  <a:srgbClr val="000000"/>
                </a:solidFill>
                <a:latin typeface="Georgia" panose="02040502050405020303" pitchFamily="18" charset="0"/>
                <a:cs typeface="Calibri"/>
              </a:rPr>
              <a:pPr algn="ctr"/>
              <a:t>7.34</a:t>
            </a:fld>
            <a:endParaRPr lang="en-US" sz="1600" b="1">
              <a:latin typeface="Georgia" panose="02040502050405020303" pitchFamily="18" charset="0"/>
            </a:endParaRPr>
          </a:p>
        </xdr:txBody>
      </xdr:sp>
      <xdr:sp macro="" textlink="Pivot!$G$38">
        <xdr:nvSpPr>
          <xdr:cNvPr id="84" name="TextBox 83"/>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6CAF0C-F657-4EA6-B111-6E568EF3D62C}" type="TxLink">
              <a:rPr lang="en-US" sz="900" b="0" i="0" u="none" strike="noStrike">
                <a:solidFill>
                  <a:srgbClr val="000000"/>
                </a:solidFill>
                <a:latin typeface="Calisto MT" panose="02040603050505030304" pitchFamily="18" charset="0"/>
                <a:cs typeface="Calibri"/>
              </a:rPr>
              <a:pPr algn="ctr"/>
              <a:t>Client Satisfaction Score</a:t>
            </a:fld>
            <a:endParaRPr lang="en-US" sz="500">
              <a:latin typeface="Calisto MT" panose="02040603050505030304" pitchFamily="18" charset="0"/>
              <a:cs typeface="Times New Roman" panose="02020603050405020304" pitchFamily="18" charset="0"/>
            </a:endParaRPr>
          </a:p>
        </xdr:txBody>
      </xdr:sp>
    </xdr:grpSp>
    <xdr:clientData/>
  </xdr:twoCellAnchor>
  <xdr:twoCellAnchor>
    <xdr:from>
      <xdr:col>9</xdr:col>
      <xdr:colOff>323850</xdr:colOff>
      <xdr:row>3</xdr:row>
      <xdr:rowOff>76201</xdr:rowOff>
    </xdr:from>
    <xdr:to>
      <xdr:col>12</xdr:col>
      <xdr:colOff>122705</xdr:colOff>
      <xdr:row>8</xdr:row>
      <xdr:rowOff>152401</xdr:rowOff>
    </xdr:to>
    <xdr:grpSp>
      <xdr:nvGrpSpPr>
        <xdr:cNvPr id="85" name="Group 84"/>
        <xdr:cNvGrpSpPr/>
      </xdr:nvGrpSpPr>
      <xdr:grpSpPr>
        <a:xfrm>
          <a:off x="5810250" y="647701"/>
          <a:ext cx="1627655" cy="1028700"/>
          <a:chOff x="4571999" y="3686735"/>
          <a:chExt cx="1770530" cy="1232647"/>
        </a:xfrm>
        <a:effectLst>
          <a:outerShdw blurRad="50800" dist="38100" dir="13500000" algn="br" rotWithShape="0">
            <a:prstClr val="black">
              <a:alpha val="40000"/>
            </a:prstClr>
          </a:outerShdw>
        </a:effectLst>
      </xdr:grpSpPr>
      <xdr:sp macro="" textlink="Pivot!$F$39">
        <xdr:nvSpPr>
          <xdr:cNvPr id="86" name="Flowchart: Terminator 85"/>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B25AE6-C2C9-40FF-AA12-58E3E3AA3212}" type="TxLink">
              <a:rPr lang="en-US" sz="1100" b="1" i="0" u="none" strike="noStrike">
                <a:solidFill>
                  <a:srgbClr val="000000"/>
                </a:solidFill>
                <a:latin typeface="Georgia" panose="02040502050405020303" pitchFamily="18" charset="0"/>
                <a:cs typeface="Calibri"/>
              </a:rPr>
              <a:pPr algn="ctr"/>
              <a:t>7.49</a:t>
            </a:fld>
            <a:endParaRPr lang="en-US" sz="1600" b="1">
              <a:latin typeface="Georgia" panose="02040502050405020303" pitchFamily="18" charset="0"/>
            </a:endParaRPr>
          </a:p>
        </xdr:txBody>
      </xdr:sp>
      <xdr:sp macro="" textlink="Pivot!$F$38">
        <xdr:nvSpPr>
          <xdr:cNvPr id="87" name="TextBox 86"/>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033CCF-7160-4D5F-B5DF-86150ADCEB27}" type="TxLink">
              <a:rPr lang="en-US" sz="900" b="0" i="0" u="none" strike="noStrike">
                <a:solidFill>
                  <a:srgbClr val="000000"/>
                </a:solidFill>
                <a:latin typeface="Calisto MT" panose="02040603050505030304" pitchFamily="18" charset="0"/>
                <a:cs typeface="Calibri"/>
              </a:rPr>
              <a:pPr algn="ctr"/>
              <a:t>Audit Effectiveness Score</a:t>
            </a:fld>
            <a:endParaRPr lang="en-US" sz="500">
              <a:latin typeface="Calisto MT" panose="02040603050505030304" pitchFamily="18" charset="0"/>
              <a:cs typeface="Times New Roman" panose="02020603050405020304" pitchFamily="18" charset="0"/>
            </a:endParaRPr>
          </a:p>
        </xdr:txBody>
      </xdr:sp>
    </xdr:grpSp>
    <xdr:clientData/>
  </xdr:twoCellAnchor>
  <xdr:twoCellAnchor>
    <xdr:from>
      <xdr:col>15</xdr:col>
      <xdr:colOff>257175</xdr:colOff>
      <xdr:row>3</xdr:row>
      <xdr:rowOff>66675</xdr:rowOff>
    </xdr:from>
    <xdr:to>
      <xdr:col>17</xdr:col>
      <xdr:colOff>247650</xdr:colOff>
      <xdr:row>8</xdr:row>
      <xdr:rowOff>152400</xdr:rowOff>
    </xdr:to>
    <xdr:grpSp>
      <xdr:nvGrpSpPr>
        <xdr:cNvPr id="88" name="Group 87"/>
        <xdr:cNvGrpSpPr/>
      </xdr:nvGrpSpPr>
      <xdr:grpSpPr>
        <a:xfrm>
          <a:off x="9401175" y="638175"/>
          <a:ext cx="1209675" cy="1038225"/>
          <a:chOff x="4571999" y="3686735"/>
          <a:chExt cx="1770530" cy="1279605"/>
        </a:xfrm>
        <a:effectLst>
          <a:outerShdw blurRad="50800" dist="38100" dir="13500000" algn="br" rotWithShape="0">
            <a:prstClr val="black">
              <a:alpha val="40000"/>
            </a:prstClr>
          </a:outerShdw>
        </a:effectLst>
      </xdr:grpSpPr>
      <xdr:sp macro="" textlink="Pivot!$H$39">
        <xdr:nvSpPr>
          <xdr:cNvPr id="89" name="Flowchart: Terminator 88"/>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7929A9F-679F-4688-87FB-4D0136B299DD}" type="TxLink">
              <a:rPr lang="en-US" sz="1100" b="1" i="0" u="none" strike="noStrike">
                <a:solidFill>
                  <a:srgbClr val="000000"/>
                </a:solidFill>
                <a:latin typeface="Georgia" panose="02040502050405020303" pitchFamily="18" charset="0"/>
                <a:cs typeface="Calibri"/>
              </a:rPr>
              <a:pPr algn="ctr"/>
              <a:t>4.95%</a:t>
            </a:fld>
            <a:endParaRPr lang="en-US" sz="1600" b="1">
              <a:latin typeface="Georgia" panose="02040502050405020303" pitchFamily="18" charset="0"/>
            </a:endParaRPr>
          </a:p>
        </xdr:txBody>
      </xdr:sp>
      <xdr:sp macro="" textlink="Pivot!$H$38">
        <xdr:nvSpPr>
          <xdr:cNvPr id="90" name="TextBox 89"/>
          <xdr:cNvSpPr txBox="1"/>
        </xdr:nvSpPr>
        <xdr:spPr>
          <a:xfrm>
            <a:off x="4840942" y="4403912"/>
            <a:ext cx="1299882" cy="562428"/>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691362-7919-481E-92CB-BB7519AA4963}" type="TxLink">
              <a:rPr lang="en-US" sz="900" b="0" i="0" u="none" strike="noStrike">
                <a:solidFill>
                  <a:srgbClr val="000000"/>
                </a:solidFill>
                <a:latin typeface="Calisto MT" panose="02040603050505030304" pitchFamily="18" charset="0"/>
                <a:cs typeface="Calibri"/>
              </a:rPr>
              <a:pPr algn="ctr"/>
              <a:t>Compliance Breach Rate</a:t>
            </a:fld>
            <a:endParaRPr lang="en-US" sz="500">
              <a:latin typeface="Calisto MT" panose="02040603050505030304" pitchFamily="18" charset="0"/>
              <a:cs typeface="Times New Roman" panose="02020603050405020304" pitchFamily="18" charset="0"/>
            </a:endParaRPr>
          </a:p>
        </xdr:txBody>
      </xdr:sp>
    </xdr:grpSp>
    <xdr:clientData/>
  </xdr:twoCellAnchor>
  <xdr:twoCellAnchor>
    <xdr:from>
      <xdr:col>17</xdr:col>
      <xdr:colOff>390525</xdr:colOff>
      <xdr:row>3</xdr:row>
      <xdr:rowOff>76198</xdr:rowOff>
    </xdr:from>
    <xdr:to>
      <xdr:col>19</xdr:col>
      <xdr:colOff>507067</xdr:colOff>
      <xdr:row>8</xdr:row>
      <xdr:rowOff>152399</xdr:rowOff>
    </xdr:to>
    <xdr:grpSp>
      <xdr:nvGrpSpPr>
        <xdr:cNvPr id="91" name="Group 90"/>
        <xdr:cNvGrpSpPr/>
      </xdr:nvGrpSpPr>
      <xdr:grpSpPr>
        <a:xfrm>
          <a:off x="10753725" y="647698"/>
          <a:ext cx="1335742" cy="1028701"/>
          <a:chOff x="4571999" y="3722636"/>
          <a:chExt cx="1770530" cy="1292486"/>
        </a:xfrm>
        <a:effectLst>
          <a:outerShdw blurRad="50800" dist="38100" dir="13500000" algn="br" rotWithShape="0">
            <a:prstClr val="black">
              <a:alpha val="40000"/>
            </a:prstClr>
          </a:outerShdw>
        </a:effectLst>
      </xdr:grpSpPr>
      <xdr:sp macro="" textlink="Pivot!$I$39">
        <xdr:nvSpPr>
          <xdr:cNvPr id="92" name="Flowchart: Terminator 91"/>
          <xdr:cNvSpPr/>
        </xdr:nvSpPr>
        <xdr:spPr>
          <a:xfrm>
            <a:off x="4571999" y="3722636"/>
            <a:ext cx="1770530" cy="793333"/>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4FF909A-E4CB-46D5-8C51-1D12B7F04200}" type="TxLink">
              <a:rPr lang="en-US" sz="1100" b="1" i="0" u="none" strike="noStrike">
                <a:solidFill>
                  <a:srgbClr val="000000"/>
                </a:solidFill>
                <a:latin typeface="Georgia" panose="02040502050405020303" pitchFamily="18" charset="0"/>
                <a:cs typeface="Calibri"/>
              </a:rPr>
              <a:pPr algn="ctr"/>
              <a:t>0.90</a:t>
            </a:fld>
            <a:endParaRPr lang="en-US" sz="1600" b="1">
              <a:latin typeface="Georgia" panose="02040502050405020303" pitchFamily="18" charset="0"/>
            </a:endParaRPr>
          </a:p>
        </xdr:txBody>
      </xdr:sp>
      <xdr:sp macro="" textlink="Pivot!$I$38">
        <xdr:nvSpPr>
          <xdr:cNvPr id="93" name="TextBox 92"/>
          <xdr:cNvSpPr txBox="1"/>
        </xdr:nvSpPr>
        <xdr:spPr>
          <a:xfrm>
            <a:off x="4840941" y="4403910"/>
            <a:ext cx="1299882" cy="611212"/>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62A9A2-F388-4FC3-8921-BFFD43FA9749}" type="TxLink">
              <a:rPr lang="en-US" sz="900" b="0" i="0" u="none" strike="noStrike">
                <a:solidFill>
                  <a:srgbClr val="000000"/>
                </a:solidFill>
                <a:latin typeface="Calisto MT" panose="02040603050505030304" pitchFamily="18" charset="0"/>
                <a:cs typeface="Calibri"/>
              </a:rPr>
              <a:pPr algn="ctr"/>
              <a:t>Work Efficiency Ratio</a:t>
            </a:fld>
            <a:endParaRPr lang="en-US" sz="500">
              <a:latin typeface="Calisto MT" panose="02040603050505030304" pitchFamily="18" charset="0"/>
            </a:endParaRPr>
          </a:p>
        </xdr:txBody>
      </xdr:sp>
    </xdr:grpSp>
    <xdr:clientData/>
  </xdr:twoCellAnchor>
  <xdr:twoCellAnchor editAs="oneCell">
    <xdr:from>
      <xdr:col>0</xdr:col>
      <xdr:colOff>314324</xdr:colOff>
      <xdr:row>26</xdr:row>
      <xdr:rowOff>142875</xdr:rowOff>
    </xdr:from>
    <xdr:to>
      <xdr:col>3</xdr:col>
      <xdr:colOff>457199</xdr:colOff>
      <xdr:row>31</xdr:row>
      <xdr:rowOff>95250</xdr:rowOff>
    </xdr:to>
    <mc:AlternateContent xmlns:mc="http://schemas.openxmlformats.org/markup-compatibility/2006" xmlns:a14="http://schemas.microsoft.com/office/drawing/2010/main">
      <mc:Choice Requires="a14">
        <xdr:graphicFrame macro="">
          <xdr:nvGraphicFramePr>
            <xdr:cNvPr id="94" name="Firm_Name 1"/>
            <xdr:cNvGraphicFramePr/>
          </xdr:nvGraphicFramePr>
          <xdr:xfrm>
            <a:off x="0" y="0"/>
            <a:ext cx="0" cy="0"/>
          </xdr:xfrm>
          <a:graphic>
            <a:graphicData uri="http://schemas.microsoft.com/office/drawing/2010/slicer">
              <sle:slicer xmlns:sle="http://schemas.microsoft.com/office/drawing/2010/slicer" name="Firm_Name 1"/>
            </a:graphicData>
          </a:graphic>
        </xdr:graphicFrame>
      </mc:Choice>
      <mc:Fallback xmlns="">
        <xdr:sp macro="" textlink="">
          <xdr:nvSpPr>
            <xdr:cNvPr id="0" name=""/>
            <xdr:cNvSpPr>
              <a:spLocks noTextEdit="1"/>
            </xdr:cNvSpPr>
          </xdr:nvSpPr>
          <xdr:spPr>
            <a:xfrm>
              <a:off x="314324" y="5095875"/>
              <a:ext cx="1971675"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257175</xdr:colOff>
      <xdr:row>0</xdr:row>
      <xdr:rowOff>9526</xdr:rowOff>
    </xdr:from>
    <xdr:to>
      <xdr:col>20</xdr:col>
      <xdr:colOff>47625</xdr:colOff>
      <xdr:row>2</xdr:row>
      <xdr:rowOff>166382</xdr:rowOff>
    </xdr:to>
    <xdr:pic>
      <xdr:nvPicPr>
        <xdr:cNvPr id="8" name="Picture 7"/>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229975" y="9526"/>
          <a:ext cx="1009650" cy="537856"/>
        </a:xfrm>
        <a:prstGeom prst="rect">
          <a:avLst/>
        </a:prstGeom>
      </xdr:spPr>
    </xdr:pic>
    <xdr:clientData/>
  </xdr:twoCellAnchor>
  <xdr:twoCellAnchor>
    <xdr:from>
      <xdr:col>4</xdr:col>
      <xdr:colOff>47625</xdr:colOff>
      <xdr:row>3</xdr:row>
      <xdr:rowOff>38101</xdr:rowOff>
    </xdr:from>
    <xdr:to>
      <xdr:col>19</xdr:col>
      <xdr:colOff>600075</xdr:colOff>
      <xdr:row>8</xdr:row>
      <xdr:rowOff>171451</xdr:rowOff>
    </xdr:to>
    <xdr:sp macro="" textlink="">
      <xdr:nvSpPr>
        <xdr:cNvPr id="4" name="Rounded Rectangle 3"/>
        <xdr:cNvSpPr/>
      </xdr:nvSpPr>
      <xdr:spPr>
        <a:xfrm>
          <a:off x="2486025" y="609601"/>
          <a:ext cx="9696450" cy="1085850"/>
        </a:xfrm>
        <a:prstGeom prst="roundRect">
          <a:avLst/>
        </a:prstGeom>
        <a:noFill/>
        <a:effectLst>
          <a:glow rad="63500">
            <a:schemeClr val="accent5">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419099</xdr:colOff>
      <xdr:row>0</xdr:row>
      <xdr:rowOff>95250</xdr:rowOff>
    </xdr:from>
    <xdr:to>
      <xdr:col>14</xdr:col>
      <xdr:colOff>419099</xdr:colOff>
      <xdr:row>2</xdr:row>
      <xdr:rowOff>66675</xdr:rowOff>
    </xdr:to>
    <xdr:sp macro="" textlink="">
      <xdr:nvSpPr>
        <xdr:cNvPr id="39" name="Rectangle 38">
          <a:hlinkClick xmlns:r="http://schemas.openxmlformats.org/officeDocument/2006/relationships" r:id="rId6"/>
        </xdr:cNvPr>
        <xdr:cNvSpPr/>
      </xdr:nvSpPr>
      <xdr:spPr>
        <a:xfrm>
          <a:off x="7734299" y="95250"/>
          <a:ext cx="1219200" cy="352425"/>
        </a:xfrm>
        <a:prstGeom prst="rect">
          <a:avLst/>
        </a:prstGeom>
        <a:solidFill>
          <a:srgbClr val="002060"/>
        </a:solidFill>
        <a:effectLst>
          <a:glow rad="63500">
            <a:schemeClr val="accent3">
              <a:satMod val="175000"/>
              <a:alpha val="40000"/>
            </a:schemeClr>
          </a:glow>
          <a:outerShdw blurRad="57150" dist="19050" dir="5400000" algn="ctr" rotWithShape="0">
            <a:srgbClr val="000000">
              <a:alpha val="63000"/>
            </a:srgb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solidFill>
                <a:schemeClr val="accent5">
                  <a:lumMod val="75000"/>
                </a:schemeClr>
              </a:solidFill>
              <a:latin typeface="Georgia" panose="02040502050405020303" pitchFamily="18" charset="0"/>
            </a:rPr>
            <a:t>Homepage</a:t>
          </a:r>
        </a:p>
      </xdr:txBody>
    </xdr:sp>
    <xdr:clientData/>
  </xdr:twoCellAnchor>
  <xdr:twoCellAnchor>
    <xdr:from>
      <xdr:col>15</xdr:col>
      <xdr:colOff>114298</xdr:colOff>
      <xdr:row>0</xdr:row>
      <xdr:rowOff>95250</xdr:rowOff>
    </xdr:from>
    <xdr:to>
      <xdr:col>17</xdr:col>
      <xdr:colOff>257173</xdr:colOff>
      <xdr:row>2</xdr:row>
      <xdr:rowOff>66675</xdr:rowOff>
    </xdr:to>
    <xdr:sp macro="" textlink="">
      <xdr:nvSpPr>
        <xdr:cNvPr id="40" name="Rectangle 39">
          <a:hlinkClick xmlns:r="http://schemas.openxmlformats.org/officeDocument/2006/relationships" r:id="rId7"/>
        </xdr:cNvPr>
        <xdr:cNvSpPr/>
      </xdr:nvSpPr>
      <xdr:spPr>
        <a:xfrm>
          <a:off x="9258298" y="95250"/>
          <a:ext cx="1362075" cy="352425"/>
        </a:xfrm>
        <a:prstGeom prst="rect">
          <a:avLst/>
        </a:prstGeom>
        <a:solidFill>
          <a:srgbClr val="002060"/>
        </a:solidFill>
        <a:effectLst>
          <a:glow rad="63500">
            <a:schemeClr val="accent3">
              <a:satMod val="175000"/>
              <a:alpha val="40000"/>
            </a:schemeClr>
          </a:glow>
          <a:outerShdw blurRad="57150" dist="19050" dir="5400000" algn="ctr" rotWithShape="0">
            <a:srgbClr val="000000">
              <a:alpha val="63000"/>
            </a:srgb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solidFill>
                <a:schemeClr val="accent5">
                  <a:lumMod val="75000"/>
                </a:schemeClr>
              </a:solidFill>
              <a:latin typeface="Georgia" panose="02040502050405020303" pitchFamily="18" charset="0"/>
            </a:rPr>
            <a:t>Recommendations</a:t>
          </a:r>
        </a:p>
      </xdr:txBody>
    </xdr:sp>
    <xdr:clientData/>
  </xdr:twoCellAnchor>
  <xdr:twoCellAnchor>
    <xdr:from>
      <xdr:col>10</xdr:col>
      <xdr:colOff>38100</xdr:colOff>
      <xdr:row>21</xdr:row>
      <xdr:rowOff>76199</xdr:rowOff>
    </xdr:from>
    <xdr:to>
      <xdr:col>15</xdr:col>
      <xdr:colOff>295275</xdr:colOff>
      <xdr:row>31</xdr:row>
      <xdr:rowOff>66674</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66675</xdr:colOff>
      <xdr:row>21</xdr:row>
      <xdr:rowOff>66675</xdr:rowOff>
    </xdr:from>
    <xdr:to>
      <xdr:col>9</xdr:col>
      <xdr:colOff>523875</xdr:colOff>
      <xdr:row>31</xdr:row>
      <xdr:rowOff>76200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237587</xdr:colOff>
      <xdr:row>0</xdr:row>
      <xdr:rowOff>9526</xdr:rowOff>
    </xdr:from>
    <xdr:to>
      <xdr:col>7</xdr:col>
      <xdr:colOff>643217</xdr:colOff>
      <xdr:row>8</xdr:row>
      <xdr:rowOff>104776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207869</xdr:colOff>
      <xdr:row>0</xdr:row>
      <xdr:rowOff>0</xdr:rowOff>
    </xdr:from>
    <xdr:to>
      <xdr:col>4</xdr:col>
      <xdr:colOff>326651</xdr:colOff>
      <xdr:row>8</xdr:row>
      <xdr:rowOff>104775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470086</xdr:colOff>
      <xdr:row>9</xdr:row>
      <xdr:rowOff>43422</xdr:rowOff>
    </xdr:from>
    <xdr:to>
      <xdr:col>6</xdr:col>
      <xdr:colOff>190500</xdr:colOff>
      <xdr:row>16</xdr:row>
      <xdr:rowOff>162485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256054</xdr:colOff>
      <xdr:row>9</xdr:row>
      <xdr:rowOff>17930</xdr:rowOff>
    </xdr:from>
    <xdr:to>
      <xdr:col>4</xdr:col>
      <xdr:colOff>384360</xdr:colOff>
      <xdr:row>16</xdr:row>
      <xdr:rowOff>170330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419501</xdr:colOff>
      <xdr:row>0</xdr:row>
      <xdr:rowOff>20731</xdr:rowOff>
    </xdr:from>
    <xdr:to>
      <xdr:col>6</xdr:col>
      <xdr:colOff>156882</xdr:colOff>
      <xdr:row>8</xdr:row>
      <xdr:rowOff>125506</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302718</xdr:colOff>
      <xdr:row>9</xdr:row>
      <xdr:rowOff>60070</xdr:rowOff>
    </xdr:from>
    <xdr:to>
      <xdr:col>7</xdr:col>
      <xdr:colOff>719978</xdr:colOff>
      <xdr:row>16</xdr:row>
      <xdr:rowOff>183216</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683558</xdr:colOff>
      <xdr:row>18</xdr:row>
      <xdr:rowOff>112059</xdr:rowOff>
    </xdr:from>
    <xdr:to>
      <xdr:col>2</xdr:col>
      <xdr:colOff>89646</xdr:colOff>
      <xdr:row>25</xdr:row>
      <xdr:rowOff>11206</xdr:rowOff>
    </xdr:to>
    <xdr:grpSp>
      <xdr:nvGrpSpPr>
        <xdr:cNvPr id="33" name="Group 32"/>
        <xdr:cNvGrpSpPr/>
      </xdr:nvGrpSpPr>
      <xdr:grpSpPr>
        <a:xfrm>
          <a:off x="1434352" y="3541059"/>
          <a:ext cx="1770529" cy="1232647"/>
          <a:chOff x="4571999" y="3686735"/>
          <a:chExt cx="1770530" cy="1232647"/>
        </a:xfrm>
      </xdr:grpSpPr>
      <xdr:sp macro="" textlink="$D$39">
        <xdr:nvSpPr>
          <xdr:cNvPr id="3" name="Flowchart: Terminator 2"/>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ACF4409-2217-4A7B-BA85-219EA7AABB90}" type="TxLink">
              <a:rPr lang="en-US" sz="1400" b="0" i="0" u="none" strike="noStrike">
                <a:solidFill>
                  <a:srgbClr val="000000"/>
                </a:solidFill>
                <a:latin typeface="Algerian" panose="04020705040A02060702" pitchFamily="82" charset="0"/>
                <a:cs typeface="Calibri"/>
              </a:rPr>
              <a:pPr algn="ctr"/>
              <a:t>60.25</a:t>
            </a:fld>
            <a:endParaRPr lang="en-US" sz="1400">
              <a:latin typeface="Algerian" panose="04020705040A02060702" pitchFamily="82" charset="0"/>
            </a:endParaRPr>
          </a:p>
        </xdr:txBody>
      </xdr:sp>
      <xdr:sp macro="" textlink="$D$38">
        <xdr:nvSpPr>
          <xdr:cNvPr id="6" name="TextBox 5"/>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7104D7-1726-492E-9748-DD850C35ECE8}" type="TxLink">
              <a:rPr lang="en-US" sz="1050" b="0" i="0" u="none" strike="noStrike">
                <a:solidFill>
                  <a:srgbClr val="000000"/>
                </a:solidFill>
                <a:latin typeface="Georgia" panose="02040502050405020303" pitchFamily="18" charset="0"/>
                <a:cs typeface="Times New Roman" panose="02020603050405020304" pitchFamily="18" charset="0"/>
              </a:rPr>
              <a:pPr algn="ctr"/>
              <a:t>Avg Employee Workload</a:t>
            </a:fld>
            <a:endParaRPr lang="en-US" sz="1050" b="0">
              <a:latin typeface="Georgia" panose="02040502050405020303" pitchFamily="18" charset="0"/>
              <a:cs typeface="Times New Roman" panose="02020603050405020304" pitchFamily="18" charset="0"/>
            </a:endParaRPr>
          </a:p>
        </xdr:txBody>
      </xdr:sp>
    </xdr:grpSp>
    <xdr:clientData/>
  </xdr:twoCellAnchor>
  <xdr:twoCellAnchor editAs="oneCell">
    <xdr:from>
      <xdr:col>0</xdr:col>
      <xdr:colOff>0</xdr:colOff>
      <xdr:row>5</xdr:row>
      <xdr:rowOff>10645</xdr:rowOff>
    </xdr:from>
    <xdr:to>
      <xdr:col>1</xdr:col>
      <xdr:colOff>943535</xdr:colOff>
      <xdr:row>13</xdr:row>
      <xdr:rowOff>100852</xdr:rowOff>
    </xdr:to>
    <mc:AlternateContent xmlns:mc="http://schemas.openxmlformats.org/markup-compatibility/2006" xmlns:a14="http://schemas.microsoft.com/office/drawing/2010/main">
      <mc:Choice Requires="a14">
        <xdr:graphicFrame macro="">
          <xdr:nvGraphicFramePr>
            <xdr:cNvPr id="34" name="Industry_Affected"/>
            <xdr:cNvGraphicFramePr/>
          </xdr:nvGraphicFramePr>
          <xdr:xfrm>
            <a:off x="0" y="0"/>
            <a:ext cx="0" cy="0"/>
          </xdr:xfrm>
          <a:graphic>
            <a:graphicData uri="http://schemas.microsoft.com/office/drawing/2010/slicer">
              <sle:slicer xmlns:sle="http://schemas.microsoft.com/office/drawing/2010/slicer" name="Industry_Affected"/>
            </a:graphicData>
          </a:graphic>
        </xdr:graphicFrame>
      </mc:Choice>
      <mc:Fallback xmlns="">
        <xdr:sp macro="" textlink="">
          <xdr:nvSpPr>
            <xdr:cNvPr id="0" name=""/>
            <xdr:cNvSpPr>
              <a:spLocks noTextEdit="1"/>
            </xdr:cNvSpPr>
          </xdr:nvSpPr>
          <xdr:spPr>
            <a:xfrm>
              <a:off x="0" y="963145"/>
              <a:ext cx="1828800" cy="16142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623045</xdr:colOff>
      <xdr:row>18</xdr:row>
      <xdr:rowOff>186017</xdr:rowOff>
    </xdr:from>
    <xdr:to>
      <xdr:col>7</xdr:col>
      <xdr:colOff>880781</xdr:colOff>
      <xdr:row>25</xdr:row>
      <xdr:rowOff>85164</xdr:rowOff>
    </xdr:to>
    <xdr:grpSp>
      <xdr:nvGrpSpPr>
        <xdr:cNvPr id="35" name="Group 34"/>
        <xdr:cNvGrpSpPr/>
      </xdr:nvGrpSpPr>
      <xdr:grpSpPr>
        <a:xfrm>
          <a:off x="10170457" y="3615017"/>
          <a:ext cx="1770530" cy="1232647"/>
          <a:chOff x="4571999" y="3686735"/>
          <a:chExt cx="1770530" cy="1232647"/>
        </a:xfrm>
      </xdr:grpSpPr>
      <xdr:sp macro="" textlink="$H$39">
        <xdr:nvSpPr>
          <xdr:cNvPr id="36" name="Flowchart: Terminator 35"/>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4BDB0D3-E99F-46AD-AB4B-A8B70FAC4EB1}" type="TxLink">
              <a:rPr lang="en-US" sz="1400" b="0" i="0" u="none" strike="noStrike">
                <a:solidFill>
                  <a:srgbClr val="000000"/>
                </a:solidFill>
                <a:latin typeface="Algerian" panose="04020705040A02060702" pitchFamily="82" charset="0"/>
                <a:cs typeface="Calibri"/>
              </a:rPr>
              <a:pPr algn="ctr"/>
              <a:t>4.95%</a:t>
            </a:fld>
            <a:endParaRPr lang="en-US" sz="2000">
              <a:latin typeface="Algerian" panose="04020705040A02060702" pitchFamily="82" charset="0"/>
            </a:endParaRPr>
          </a:p>
        </xdr:txBody>
      </xdr:sp>
      <xdr:sp macro="" textlink="$H$38">
        <xdr:nvSpPr>
          <xdr:cNvPr id="37" name="TextBox 36"/>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8A3AC6-5260-43D0-B60A-A2F9096EAA4B}" type="TxLink">
              <a:rPr lang="en-US" sz="1050" b="0" i="0" u="none" strike="noStrike">
                <a:solidFill>
                  <a:srgbClr val="000000"/>
                </a:solidFill>
                <a:latin typeface="Georgia" panose="02040502050405020303" pitchFamily="18" charset="0"/>
                <a:cs typeface="Times New Roman" panose="02020603050405020304" pitchFamily="18" charset="0"/>
              </a:rPr>
              <a:pPr algn="ctr"/>
              <a:t>Compliance Breach Rate</a:t>
            </a:fld>
            <a:endParaRPr lang="en-US" sz="1100">
              <a:latin typeface="Georgia" panose="02040502050405020303" pitchFamily="18" charset="0"/>
              <a:cs typeface="Times New Roman" panose="02020603050405020304" pitchFamily="18" charset="0"/>
            </a:endParaRPr>
          </a:p>
        </xdr:txBody>
      </xdr:sp>
    </xdr:grpSp>
    <xdr:clientData/>
  </xdr:twoCellAnchor>
  <xdr:twoCellAnchor>
    <xdr:from>
      <xdr:col>4</xdr:col>
      <xdr:colOff>1828799</xdr:colOff>
      <xdr:row>19</xdr:row>
      <xdr:rowOff>24654</xdr:rowOff>
    </xdr:from>
    <xdr:to>
      <xdr:col>5</xdr:col>
      <xdr:colOff>1481417</xdr:colOff>
      <xdr:row>25</xdr:row>
      <xdr:rowOff>114301</xdr:rowOff>
    </xdr:to>
    <xdr:grpSp>
      <xdr:nvGrpSpPr>
        <xdr:cNvPr id="38" name="Group 37"/>
        <xdr:cNvGrpSpPr/>
      </xdr:nvGrpSpPr>
      <xdr:grpSpPr>
        <a:xfrm>
          <a:off x="7667064" y="3644154"/>
          <a:ext cx="1770529" cy="1232647"/>
          <a:chOff x="4571999" y="3686735"/>
          <a:chExt cx="1770530" cy="1232647"/>
        </a:xfrm>
      </xdr:grpSpPr>
      <xdr:sp macro="" textlink="$G$39">
        <xdr:nvSpPr>
          <xdr:cNvPr id="39" name="Flowchart: Terminator 38"/>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EC56F0C-9581-4133-9C3F-3F7049F1A1FE}" type="TxLink">
              <a:rPr lang="en-US" sz="1400" b="0" i="0" u="none" strike="noStrike">
                <a:solidFill>
                  <a:srgbClr val="000000"/>
                </a:solidFill>
                <a:latin typeface="Algerian" panose="04020705040A02060702" pitchFamily="82" charset="0"/>
                <a:cs typeface="Calibri"/>
              </a:rPr>
              <a:pPr algn="ctr"/>
              <a:t>7.34</a:t>
            </a:fld>
            <a:endParaRPr lang="en-US" sz="2000">
              <a:latin typeface="Algerian" panose="04020705040A02060702" pitchFamily="82" charset="0"/>
            </a:endParaRPr>
          </a:p>
        </xdr:txBody>
      </xdr:sp>
      <xdr:sp macro="" textlink="$G$38">
        <xdr:nvSpPr>
          <xdr:cNvPr id="40" name="TextBox 39"/>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697B-84EF-41E3-A295-4358ED0AB7E7}" type="TxLink">
              <a:rPr lang="en-US" sz="1050" b="0" i="0" u="none" strike="noStrike">
                <a:solidFill>
                  <a:srgbClr val="000000"/>
                </a:solidFill>
                <a:latin typeface="Georgia" panose="02040502050405020303" pitchFamily="18" charset="0"/>
                <a:cs typeface="Times New Roman" panose="02020603050405020304" pitchFamily="18" charset="0"/>
              </a:rPr>
              <a:pPr algn="ctr"/>
              <a:t>Client Satisfaction Score</a:t>
            </a:fld>
            <a:endParaRPr lang="en-US" sz="1100">
              <a:latin typeface="Georgia" panose="02040502050405020303" pitchFamily="18" charset="0"/>
              <a:cs typeface="Times New Roman" panose="02020603050405020304" pitchFamily="18" charset="0"/>
            </a:endParaRPr>
          </a:p>
        </xdr:txBody>
      </xdr:sp>
    </xdr:grpSp>
    <xdr:clientData/>
  </xdr:twoCellAnchor>
  <xdr:twoCellAnchor>
    <xdr:from>
      <xdr:col>2</xdr:col>
      <xdr:colOff>188258</xdr:colOff>
      <xdr:row>18</xdr:row>
      <xdr:rowOff>121024</xdr:rowOff>
    </xdr:from>
    <xdr:to>
      <xdr:col>3</xdr:col>
      <xdr:colOff>782171</xdr:colOff>
      <xdr:row>25</xdr:row>
      <xdr:rowOff>20171</xdr:rowOff>
    </xdr:to>
    <xdr:grpSp>
      <xdr:nvGrpSpPr>
        <xdr:cNvPr id="41" name="Group 40"/>
        <xdr:cNvGrpSpPr/>
      </xdr:nvGrpSpPr>
      <xdr:grpSpPr>
        <a:xfrm>
          <a:off x="3303493" y="3550024"/>
          <a:ext cx="1770531" cy="1232647"/>
          <a:chOff x="4571999" y="3686735"/>
          <a:chExt cx="1770530" cy="1232647"/>
        </a:xfrm>
      </xdr:grpSpPr>
      <xdr:sp macro="" textlink="$E$39">
        <xdr:nvSpPr>
          <xdr:cNvPr id="42" name="Flowchart: Terminator 41"/>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8AD86C5-1DA2-4383-8427-36DB9BDA4D52}" type="TxLink">
              <a:rPr lang="en-US" sz="1400" b="0" i="0" u="none" strike="noStrike">
                <a:solidFill>
                  <a:srgbClr val="000000"/>
                </a:solidFill>
                <a:latin typeface="Algerian" panose="04020705040A02060702" pitchFamily="82" charset="0"/>
                <a:cs typeface="Calibri"/>
              </a:rPr>
              <a:pPr algn="ctr"/>
              <a:t>$27,253,900,000</a:t>
            </a:fld>
            <a:endParaRPr lang="en-US" sz="2000">
              <a:latin typeface="Algerian" panose="04020705040A02060702" pitchFamily="82" charset="0"/>
            </a:endParaRPr>
          </a:p>
        </xdr:txBody>
      </xdr:sp>
      <xdr:sp macro="" textlink="$E$38">
        <xdr:nvSpPr>
          <xdr:cNvPr id="43" name="TextBox 42"/>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FC1C7F-1AD0-4039-A43C-5ACE1881FA49}" type="TxLink">
              <a:rPr lang="en-US" sz="1050" b="0" i="0" u="none" strike="noStrike">
                <a:solidFill>
                  <a:srgbClr val="000000"/>
                </a:solidFill>
                <a:latin typeface="Georgia" panose="02040502050405020303" pitchFamily="18" charset="0"/>
                <a:cs typeface="Times New Roman" panose="02020603050405020304" pitchFamily="18" charset="0"/>
              </a:rPr>
              <a:pPr algn="ctr"/>
              <a:t>Revenue Impact</a:t>
            </a:fld>
            <a:endParaRPr lang="en-US" sz="1100">
              <a:latin typeface="Georgia" panose="02040502050405020303" pitchFamily="18" charset="0"/>
              <a:cs typeface="Times New Roman" panose="02020603050405020304" pitchFamily="18" charset="0"/>
            </a:endParaRPr>
          </a:p>
        </xdr:txBody>
      </xdr:sp>
    </xdr:grpSp>
    <xdr:clientData/>
  </xdr:twoCellAnchor>
  <xdr:twoCellAnchor>
    <xdr:from>
      <xdr:col>4</xdr:col>
      <xdr:colOff>4480</xdr:colOff>
      <xdr:row>19</xdr:row>
      <xdr:rowOff>15688</xdr:rowOff>
    </xdr:from>
    <xdr:to>
      <xdr:col>4</xdr:col>
      <xdr:colOff>1775010</xdr:colOff>
      <xdr:row>25</xdr:row>
      <xdr:rowOff>105335</xdr:rowOff>
    </xdr:to>
    <xdr:grpSp>
      <xdr:nvGrpSpPr>
        <xdr:cNvPr id="44" name="Group 43"/>
        <xdr:cNvGrpSpPr/>
      </xdr:nvGrpSpPr>
      <xdr:grpSpPr>
        <a:xfrm>
          <a:off x="5842745" y="3635188"/>
          <a:ext cx="1770530" cy="1232647"/>
          <a:chOff x="4571999" y="3686735"/>
          <a:chExt cx="1770530" cy="1232647"/>
        </a:xfrm>
      </xdr:grpSpPr>
      <xdr:sp macro="" textlink="$F$39">
        <xdr:nvSpPr>
          <xdr:cNvPr id="45" name="Flowchart: Terminator 44"/>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ED0626A-A430-4069-85C5-A27546F5C662}" type="TxLink">
              <a:rPr lang="en-US" sz="1400" b="0" i="0" u="none" strike="noStrike">
                <a:solidFill>
                  <a:srgbClr val="000000"/>
                </a:solidFill>
                <a:latin typeface="Algerian" panose="04020705040A02060702" pitchFamily="82" charset="0"/>
                <a:cs typeface="Calibri"/>
              </a:rPr>
              <a:pPr algn="ctr"/>
              <a:t>7.49</a:t>
            </a:fld>
            <a:endParaRPr lang="en-US" sz="2000">
              <a:latin typeface="Algerian" panose="04020705040A02060702" pitchFamily="82" charset="0"/>
            </a:endParaRPr>
          </a:p>
        </xdr:txBody>
      </xdr:sp>
      <xdr:sp macro="" textlink="$F$38">
        <xdr:nvSpPr>
          <xdr:cNvPr id="46" name="TextBox 45"/>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4549E0-FFE7-4E84-9137-3025E4F361E5}" type="TxLink">
              <a:rPr lang="en-US" sz="1000" b="0" i="0" u="none" strike="noStrike">
                <a:solidFill>
                  <a:srgbClr val="000000"/>
                </a:solidFill>
                <a:latin typeface="Georgia" panose="02040502050405020303" pitchFamily="18" charset="0"/>
                <a:cs typeface="Times New Roman" panose="02020603050405020304" pitchFamily="18" charset="0"/>
              </a:rPr>
              <a:pPr algn="ctr"/>
              <a:t>Audit Effectiveness Score</a:t>
            </a:fld>
            <a:endParaRPr lang="en-US" sz="1050">
              <a:latin typeface="Georgia" panose="02040502050405020303" pitchFamily="18" charset="0"/>
              <a:cs typeface="Times New Roman" panose="02020603050405020304" pitchFamily="18" charset="0"/>
            </a:endParaRPr>
          </a:p>
        </xdr:txBody>
      </xdr:sp>
    </xdr:grpSp>
    <xdr:clientData/>
  </xdr:twoCellAnchor>
  <xdr:twoCellAnchor>
    <xdr:from>
      <xdr:col>7</xdr:col>
      <xdr:colOff>999563</xdr:colOff>
      <xdr:row>18</xdr:row>
      <xdr:rowOff>181535</xdr:rowOff>
    </xdr:from>
    <xdr:to>
      <xdr:col>8</xdr:col>
      <xdr:colOff>1257299</xdr:colOff>
      <xdr:row>25</xdr:row>
      <xdr:rowOff>80682</xdr:rowOff>
    </xdr:to>
    <xdr:grpSp>
      <xdr:nvGrpSpPr>
        <xdr:cNvPr id="47" name="Group 46"/>
        <xdr:cNvGrpSpPr/>
      </xdr:nvGrpSpPr>
      <xdr:grpSpPr>
        <a:xfrm>
          <a:off x="12059769" y="3610535"/>
          <a:ext cx="1770530" cy="1232647"/>
          <a:chOff x="4571999" y="3686735"/>
          <a:chExt cx="1770530" cy="1232647"/>
        </a:xfrm>
      </xdr:grpSpPr>
      <xdr:sp macro="" textlink="$I$39">
        <xdr:nvSpPr>
          <xdr:cNvPr id="48" name="Flowchart: Terminator 47"/>
          <xdr:cNvSpPr/>
        </xdr:nvSpPr>
        <xdr:spPr>
          <a:xfrm>
            <a:off x="4571999" y="3686735"/>
            <a:ext cx="1770530" cy="829235"/>
          </a:xfrm>
          <a:prstGeom prst="flowChartTerminator">
            <a:avLst/>
          </a:prstGeom>
          <a:solidFill>
            <a:schemeClr val="bg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7CFED48-2D73-4157-AFE6-A2FAD7F85E0A}" type="TxLink">
              <a:rPr lang="en-US" sz="1400" b="0" i="0" u="none" strike="noStrike">
                <a:solidFill>
                  <a:srgbClr val="000000"/>
                </a:solidFill>
                <a:latin typeface="Algerian" panose="04020705040A02060702" pitchFamily="82" charset="0"/>
                <a:cs typeface="Calibri"/>
              </a:rPr>
              <a:pPr algn="ctr"/>
              <a:t>0.90</a:t>
            </a:fld>
            <a:endParaRPr lang="en-US" sz="2000">
              <a:latin typeface="Algerian" panose="04020705040A02060702" pitchFamily="82" charset="0"/>
            </a:endParaRPr>
          </a:p>
        </xdr:txBody>
      </xdr:sp>
      <xdr:sp macro="" textlink="$I$38">
        <xdr:nvSpPr>
          <xdr:cNvPr id="49" name="TextBox 48"/>
          <xdr:cNvSpPr txBox="1"/>
        </xdr:nvSpPr>
        <xdr:spPr>
          <a:xfrm>
            <a:off x="4840941" y="4403911"/>
            <a:ext cx="1299882" cy="515471"/>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0A7F55-7607-41F8-A1D5-976F13CBE3B1}" type="TxLink">
              <a:rPr lang="en-US" sz="1000" b="0" i="0" u="none" strike="noStrike">
                <a:solidFill>
                  <a:srgbClr val="000000"/>
                </a:solidFill>
                <a:latin typeface="Georgia" panose="02040502050405020303" pitchFamily="18" charset="0"/>
                <a:cs typeface="Calibri"/>
              </a:rPr>
              <a:pPr algn="ctr"/>
              <a:t>Work Efficiency Ratio</a:t>
            </a:fld>
            <a:endParaRPr lang="en-US" sz="1050">
              <a:latin typeface="Georgia" panose="02040502050405020303" pitchFamily="18" charset="0"/>
            </a:endParaRPr>
          </a:p>
        </xdr:txBody>
      </xdr:sp>
    </xdr:grpSp>
    <xdr:clientData/>
  </xdr:twoCellAnchor>
  <xdr:twoCellAnchor editAs="oneCell">
    <xdr:from>
      <xdr:col>0</xdr:col>
      <xdr:colOff>0</xdr:colOff>
      <xdr:row>27</xdr:row>
      <xdr:rowOff>155762</xdr:rowOff>
    </xdr:from>
    <xdr:to>
      <xdr:col>1</xdr:col>
      <xdr:colOff>943535</xdr:colOff>
      <xdr:row>32</xdr:row>
      <xdr:rowOff>168087</xdr:rowOff>
    </xdr:to>
    <mc:AlternateContent xmlns:mc="http://schemas.openxmlformats.org/markup-compatibility/2006" xmlns:a14="http://schemas.microsoft.com/office/drawing/2010/main">
      <mc:Choice Requires="a14">
        <xdr:graphicFrame macro="">
          <xdr:nvGraphicFramePr>
            <xdr:cNvPr id="52" name="AI_Used_for_Auditing"/>
            <xdr:cNvGraphicFramePr/>
          </xdr:nvGraphicFramePr>
          <xdr:xfrm>
            <a:off x="0" y="0"/>
            <a:ext cx="0" cy="0"/>
          </xdr:xfrm>
          <a:graphic>
            <a:graphicData uri="http://schemas.microsoft.com/office/drawing/2010/slicer">
              <sle:slicer xmlns:sle="http://schemas.microsoft.com/office/drawing/2010/slicer" name="AI_Used_for_Auditing"/>
            </a:graphicData>
          </a:graphic>
        </xdr:graphicFrame>
      </mc:Choice>
      <mc:Fallback xmlns="">
        <xdr:sp macro="" textlink="">
          <xdr:nvSpPr>
            <xdr:cNvPr id="0" name=""/>
            <xdr:cNvSpPr>
              <a:spLocks noTextEdit="1"/>
            </xdr:cNvSpPr>
          </xdr:nvSpPr>
          <xdr:spPr>
            <a:xfrm>
              <a:off x="0" y="5299262"/>
              <a:ext cx="1828800" cy="964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20</xdr:row>
      <xdr:rowOff>122145</xdr:rowOff>
    </xdr:from>
    <xdr:to>
      <xdr:col>1</xdr:col>
      <xdr:colOff>943535</xdr:colOff>
      <xdr:row>27</xdr:row>
      <xdr:rowOff>56029</xdr:rowOff>
    </xdr:to>
    <mc:AlternateContent xmlns:mc="http://schemas.openxmlformats.org/markup-compatibility/2006" xmlns:a14="http://schemas.microsoft.com/office/drawing/2010/main">
      <mc:Choice Requires="a14">
        <xdr:graphicFrame macro="">
          <xdr:nvGraphicFramePr>
            <xdr:cNvPr id="53" name="Workload_Category"/>
            <xdr:cNvGraphicFramePr/>
          </xdr:nvGraphicFramePr>
          <xdr:xfrm>
            <a:off x="0" y="0"/>
            <a:ext cx="0" cy="0"/>
          </xdr:xfrm>
          <a:graphic>
            <a:graphicData uri="http://schemas.microsoft.com/office/drawing/2010/slicer">
              <sle:slicer xmlns:sle="http://schemas.microsoft.com/office/drawing/2010/slicer" name="Workload_Category"/>
            </a:graphicData>
          </a:graphic>
        </xdr:graphicFrame>
      </mc:Choice>
      <mc:Fallback xmlns="">
        <xdr:sp macro="" textlink="">
          <xdr:nvSpPr>
            <xdr:cNvPr id="0" name=""/>
            <xdr:cNvSpPr>
              <a:spLocks noTextEdit="1"/>
            </xdr:cNvSpPr>
          </xdr:nvSpPr>
          <xdr:spPr>
            <a:xfrm>
              <a:off x="0" y="3932145"/>
              <a:ext cx="1828800" cy="126738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10085</xdr:rowOff>
    </xdr:from>
    <xdr:to>
      <xdr:col>1</xdr:col>
      <xdr:colOff>943535</xdr:colOff>
      <xdr:row>20</xdr:row>
      <xdr:rowOff>78441</xdr:rowOff>
    </xdr:to>
    <mc:AlternateContent xmlns:mc="http://schemas.openxmlformats.org/markup-compatibility/2006" xmlns:a14="http://schemas.microsoft.com/office/drawing/2010/main">
      <mc:Choice Requires="a14">
        <xdr:graphicFrame macro="">
          <xdr:nvGraphicFramePr>
            <xdr:cNvPr id="54"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0" y="2677085"/>
              <a:ext cx="1828800" cy="1211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1</xdr:col>
      <xdr:colOff>943535</xdr:colOff>
      <xdr:row>4</xdr:row>
      <xdr:rowOff>169209</xdr:rowOff>
    </xdr:to>
    <mc:AlternateContent xmlns:mc="http://schemas.openxmlformats.org/markup-compatibility/2006" xmlns:a14="http://schemas.microsoft.com/office/drawing/2010/main">
      <mc:Choice Requires="a14">
        <xdr:graphicFrame macro="">
          <xdr:nvGraphicFramePr>
            <xdr:cNvPr id="55" name="Firm_Name"/>
            <xdr:cNvGraphicFramePr/>
          </xdr:nvGraphicFramePr>
          <xdr:xfrm>
            <a:off x="0" y="0"/>
            <a:ext cx="0" cy="0"/>
          </xdr:xfrm>
          <a:graphic>
            <a:graphicData uri="http://schemas.microsoft.com/office/drawing/2010/slicer">
              <sle:slicer xmlns:sle="http://schemas.microsoft.com/office/drawing/2010/slicer" name="Firm_Name"/>
            </a:graphicData>
          </a:graphic>
        </xdr:graphicFrame>
      </mc:Choice>
      <mc:Fallback xmlns="">
        <xdr:sp macro="" textlink="">
          <xdr:nvSpPr>
            <xdr:cNvPr id="0" name=""/>
            <xdr:cNvSpPr>
              <a:spLocks noTextEdit="1"/>
            </xdr:cNvSpPr>
          </xdr:nvSpPr>
          <xdr:spPr>
            <a:xfrm>
              <a:off x="0" y="0"/>
              <a:ext cx="1828800" cy="9312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44825</xdr:colOff>
      <xdr:row>38</xdr:row>
      <xdr:rowOff>146796</xdr:rowOff>
    </xdr:from>
    <xdr:to>
      <xdr:col>7</xdr:col>
      <xdr:colOff>560295</xdr:colOff>
      <xdr:row>48</xdr:row>
      <xdr:rowOff>44823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33619</xdr:colOff>
      <xdr:row>48</xdr:row>
      <xdr:rowOff>158002</xdr:rowOff>
    </xdr:from>
    <xdr:to>
      <xdr:col>7</xdr:col>
      <xdr:colOff>504265</xdr:colOff>
      <xdr:row>59</xdr:row>
      <xdr:rowOff>134471</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18</xdr:col>
      <xdr:colOff>219075</xdr:colOff>
      <xdr:row>0</xdr:row>
      <xdr:rowOff>0</xdr:rowOff>
    </xdr:from>
    <xdr:to>
      <xdr:col>20</xdr:col>
      <xdr:colOff>9525</xdr:colOff>
      <xdr:row>0</xdr:row>
      <xdr:rowOff>509281</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191875" y="0"/>
          <a:ext cx="1009650" cy="509281"/>
        </a:xfrm>
        <a:prstGeom prst="rect">
          <a:avLst/>
        </a:prstGeom>
      </xdr:spPr>
    </xdr:pic>
    <xdr:clientData/>
  </xdr:twoCellAnchor>
  <xdr:twoCellAnchor>
    <xdr:from>
      <xdr:col>12</xdr:col>
      <xdr:colOff>85725</xdr:colOff>
      <xdr:row>0</xdr:row>
      <xdr:rowOff>76200</xdr:rowOff>
    </xdr:from>
    <xdr:to>
      <xdr:col>14</xdr:col>
      <xdr:colOff>85725</xdr:colOff>
      <xdr:row>0</xdr:row>
      <xdr:rowOff>428625</xdr:rowOff>
    </xdr:to>
    <xdr:sp macro="" textlink="">
      <xdr:nvSpPr>
        <xdr:cNvPr id="6" name="Rectangle 5">
          <a:hlinkClick xmlns:r="http://schemas.openxmlformats.org/officeDocument/2006/relationships" r:id="rId2"/>
        </xdr:cNvPr>
        <xdr:cNvSpPr/>
      </xdr:nvSpPr>
      <xdr:spPr>
        <a:xfrm>
          <a:off x="7400925" y="76200"/>
          <a:ext cx="1219200" cy="352425"/>
        </a:xfrm>
        <a:prstGeom prst="rect">
          <a:avLst/>
        </a:prstGeom>
        <a:solidFill>
          <a:srgbClr val="002060"/>
        </a:solidFill>
        <a:effectLst>
          <a:glow rad="63500">
            <a:schemeClr val="accent3">
              <a:satMod val="175000"/>
              <a:alpha val="40000"/>
            </a:schemeClr>
          </a:glow>
          <a:outerShdw blurRad="57150" dist="19050" dir="5400000" algn="ctr" rotWithShape="0">
            <a:srgbClr val="000000">
              <a:alpha val="63000"/>
            </a:srgb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solidFill>
                <a:schemeClr val="accent5">
                  <a:lumMod val="75000"/>
                </a:schemeClr>
              </a:solidFill>
              <a:effectLst/>
              <a:latin typeface="Georgia" panose="02040502050405020303" pitchFamily="18" charset="0"/>
              <a:ea typeface="+mn-ea"/>
              <a:cs typeface="+mn-cs"/>
            </a:rPr>
            <a:t>Homepage</a:t>
          </a:r>
          <a:endParaRPr lang="en-US" sz="1100">
            <a:solidFill>
              <a:schemeClr val="accent5">
                <a:lumMod val="75000"/>
              </a:schemeClr>
            </a:solidFill>
            <a:latin typeface="Georgia" panose="02040502050405020303" pitchFamily="18" charset="0"/>
          </a:endParaRPr>
        </a:p>
      </xdr:txBody>
    </xdr:sp>
    <xdr:clientData/>
  </xdr:twoCellAnchor>
  <xdr:twoCellAnchor>
    <xdr:from>
      <xdr:col>14</xdr:col>
      <xdr:colOff>390524</xdr:colOff>
      <xdr:row>0</xdr:row>
      <xdr:rowOff>76200</xdr:rowOff>
    </xdr:from>
    <xdr:to>
      <xdr:col>16</xdr:col>
      <xdr:colOff>533399</xdr:colOff>
      <xdr:row>0</xdr:row>
      <xdr:rowOff>428625</xdr:rowOff>
    </xdr:to>
    <xdr:sp macro="" textlink="">
      <xdr:nvSpPr>
        <xdr:cNvPr id="7" name="Rectangle 6">
          <a:hlinkClick xmlns:r="http://schemas.openxmlformats.org/officeDocument/2006/relationships" r:id="rId3"/>
        </xdr:cNvPr>
        <xdr:cNvSpPr/>
      </xdr:nvSpPr>
      <xdr:spPr>
        <a:xfrm>
          <a:off x="8924924" y="76200"/>
          <a:ext cx="1362075" cy="352425"/>
        </a:xfrm>
        <a:prstGeom prst="rect">
          <a:avLst/>
        </a:prstGeom>
        <a:solidFill>
          <a:srgbClr val="002060"/>
        </a:solidFill>
        <a:effectLst>
          <a:glow rad="63500">
            <a:schemeClr val="accent3">
              <a:satMod val="175000"/>
              <a:alpha val="40000"/>
            </a:schemeClr>
          </a:glow>
          <a:outerShdw blurRad="57150" dist="19050" dir="5400000" algn="ctr" rotWithShape="0">
            <a:srgbClr val="000000">
              <a:alpha val="63000"/>
            </a:srgb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a:solidFill>
                <a:schemeClr val="accent5">
                  <a:lumMod val="75000"/>
                </a:schemeClr>
              </a:solidFill>
              <a:latin typeface="Georgia" panose="02040502050405020303" pitchFamily="18" charset="0"/>
            </a:rPr>
            <a:t>Recommendations</a:t>
          </a:r>
        </a:p>
      </xdr:txBody>
    </xdr:sp>
    <xdr:clientData/>
  </xdr:twoCellAnchor>
  <xdr:twoCellAnchor>
    <xdr:from>
      <xdr:col>0</xdr:col>
      <xdr:colOff>19050</xdr:colOff>
      <xdr:row>0</xdr:row>
      <xdr:rowOff>28575</xdr:rowOff>
    </xdr:from>
    <xdr:to>
      <xdr:col>20</xdr:col>
      <xdr:colOff>9525</xdr:colOff>
      <xdr:row>1</xdr:row>
      <xdr:rowOff>9525</xdr:rowOff>
    </xdr:to>
    <xdr:sp macro="" textlink="">
      <xdr:nvSpPr>
        <xdr:cNvPr id="2" name="Rectangle 1"/>
        <xdr:cNvSpPr/>
      </xdr:nvSpPr>
      <xdr:spPr>
        <a:xfrm>
          <a:off x="19050" y="28575"/>
          <a:ext cx="12182475" cy="504825"/>
        </a:xfrm>
        <a:prstGeom prst="rect">
          <a:avLst/>
        </a:prstGeom>
        <a:noFill/>
        <a:effectLst>
          <a:glow rad="38100">
            <a:srgbClr val="7030A0">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438150</xdr:colOff>
      <xdr:row>7</xdr:row>
      <xdr:rowOff>38100</xdr:rowOff>
    </xdr:from>
    <xdr:to>
      <xdr:col>19</xdr:col>
      <xdr:colOff>200025</xdr:colOff>
      <xdr:row>25</xdr:row>
      <xdr:rowOff>19050</xdr:rowOff>
    </xdr:to>
    <xdr:sp macro="" textlink="">
      <xdr:nvSpPr>
        <xdr:cNvPr id="8" name="TextBox 7"/>
        <xdr:cNvSpPr txBox="1"/>
      </xdr:nvSpPr>
      <xdr:spPr>
        <a:xfrm>
          <a:off x="438150" y="1704975"/>
          <a:ext cx="11344275" cy="3409950"/>
        </a:xfrm>
        <a:prstGeom prst="rect">
          <a:avLst/>
        </a:prstGeom>
        <a:solidFill>
          <a:srgbClr val="002060"/>
        </a:solidFill>
        <a:ln w="9525" cmpd="sng">
          <a:noFill/>
        </a:ln>
        <a:effectLst>
          <a:glow rad="63500">
            <a:schemeClr val="accent5">
              <a:satMod val="175000"/>
              <a:alpha val="40000"/>
            </a:schemeClr>
          </a:glow>
          <a:innerShdw blurRad="63500" dist="50800" dir="13500000">
            <a:prstClr val="black">
              <a:alpha val="50000"/>
            </a:prstClr>
          </a:innerShdw>
        </a:effectLst>
        <a:scene3d>
          <a:camera prst="orthographicFront">
            <a:rot lat="0" lon="0" rev="0"/>
          </a:camera>
          <a:lightRig rig="contrasting" dir="t">
            <a:rot lat="0" lon="0" rev="7800000"/>
          </a:lightRig>
        </a:scene3d>
        <a:sp3d>
          <a:bevelT w="139700" h="1397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u="sng">
            <a:solidFill>
              <a:sysClr val="windowText" lastClr="000000"/>
            </a:solidFill>
            <a:latin typeface="Times New Roman" panose="02020603050405020304" pitchFamily="18" charset="0"/>
            <a:cs typeface="Times New Roman" panose="02020603050405020304" pitchFamily="18" charset="0"/>
          </a:endParaRPr>
        </a:p>
        <a:p>
          <a:endParaRPr lang="en-US" sz="1100" b="1" u="sng">
            <a:solidFill>
              <a:sysClr val="windowText" lastClr="000000"/>
            </a:solidFill>
            <a:latin typeface="Times New Roman" panose="02020603050405020304" pitchFamily="18" charset="0"/>
            <a:cs typeface="Times New Roman" panose="02020603050405020304" pitchFamily="18" charset="0"/>
          </a:endParaRPr>
        </a:p>
        <a:p>
          <a:endParaRPr lang="en-US" sz="1100" b="1" u="sng">
            <a:solidFill>
              <a:sysClr val="windowText" lastClr="000000"/>
            </a:solidFill>
            <a:latin typeface="Times New Roman" panose="02020603050405020304" pitchFamily="18" charset="0"/>
            <a:cs typeface="Times New Roman" panose="02020603050405020304" pitchFamily="18" charset="0"/>
          </a:endParaRPr>
        </a:p>
        <a:p>
          <a:endParaRPr lang="en-US" sz="1100" b="1" u="sng">
            <a:solidFill>
              <a:sysClr val="windowText" lastClr="000000"/>
            </a:solidFill>
            <a:latin typeface="Times New Roman" panose="02020603050405020304" pitchFamily="18" charset="0"/>
            <a:cs typeface="Times New Roman" panose="02020603050405020304" pitchFamily="18" charset="0"/>
          </a:endParaRPr>
        </a:p>
        <a:p>
          <a:endParaRPr lang="en-US" sz="1100" b="1" u="sng">
            <a:solidFill>
              <a:sysClr val="windowText" lastClr="000000"/>
            </a:solidFill>
            <a:latin typeface="Times New Roman" panose="02020603050405020304" pitchFamily="18" charset="0"/>
            <a:cs typeface="Times New Roman" panose="02020603050405020304" pitchFamily="18" charset="0"/>
          </a:endParaRPr>
        </a:p>
        <a:p>
          <a:r>
            <a:rPr lang="en-US" sz="1400" b="1" u="sng">
              <a:solidFill>
                <a:sysClr val="windowText" lastClr="000000"/>
              </a:solidFill>
              <a:latin typeface="Times New Roman" panose="02020603050405020304" pitchFamily="18" charset="0"/>
              <a:cs typeface="Times New Roman" panose="02020603050405020304" pitchFamily="18" charset="0"/>
            </a:rPr>
            <a:t>Recommendations</a:t>
          </a:r>
        </a:p>
        <a:p>
          <a:endParaRPr lang="en-US" sz="1400" b="1" u="sng">
            <a:solidFill>
              <a:sysClr val="windowText" lastClr="000000"/>
            </a:solidFill>
            <a:latin typeface="Times New Roman" panose="02020603050405020304" pitchFamily="18" charset="0"/>
            <a:cs typeface="Times New Roman" panose="02020603050405020304" pitchFamily="18" charset="0"/>
          </a:endParaRPr>
        </a:p>
        <a:p>
          <a:r>
            <a:rPr lang="en-US" sz="1400">
              <a:solidFill>
                <a:sysClr val="windowText" lastClr="000000"/>
              </a:solidFill>
              <a:latin typeface="Times New Roman" panose="02020603050405020304" pitchFamily="18" charset="0"/>
              <a:cs typeface="Times New Roman" panose="02020603050405020304" pitchFamily="18" charset="0"/>
            </a:rPr>
            <a:t>I. I'd recommend</a:t>
          </a:r>
          <a:r>
            <a:rPr lang="en-US" sz="1400" baseline="0">
              <a:solidFill>
                <a:sysClr val="windowText" lastClr="000000"/>
              </a:solidFill>
              <a:latin typeface="Times New Roman" panose="02020603050405020304" pitchFamily="18" charset="0"/>
              <a:cs typeface="Times New Roman" panose="02020603050405020304" pitchFamily="18" charset="0"/>
            </a:rPr>
            <a:t> a client seeking to venture into one of the four sectors to invest in the </a:t>
          </a:r>
          <a:r>
            <a:rPr lang="en-US" sz="1400" b="1" baseline="0">
              <a:solidFill>
                <a:schemeClr val="accent4">
                  <a:lumMod val="75000"/>
                </a:schemeClr>
              </a:solidFill>
              <a:latin typeface="Times New Roman" panose="02020603050405020304" pitchFamily="18" charset="0"/>
              <a:cs typeface="Times New Roman" panose="02020603050405020304" pitchFamily="18" charset="0"/>
            </a:rPr>
            <a:t>Retail Sector</a:t>
          </a:r>
          <a:r>
            <a:rPr lang="en-US" sz="1400" baseline="0">
              <a:solidFill>
                <a:sysClr val="windowText" lastClr="000000"/>
              </a:solidFill>
              <a:latin typeface="Times New Roman" panose="02020603050405020304" pitchFamily="18" charset="0"/>
              <a:cs typeface="Times New Roman" panose="02020603050405020304" pitchFamily="18" charset="0"/>
            </a:rPr>
            <a:t>. It's due to the fact that it's the only sector amongst those analyzed that features in the </a:t>
          </a:r>
          <a:r>
            <a:rPr lang="en-US" sz="1400" b="1" baseline="0">
              <a:solidFill>
                <a:sysClr val="windowText" lastClr="000000"/>
              </a:solidFill>
              <a:latin typeface="Times New Roman" panose="02020603050405020304" pitchFamily="18" charset="0"/>
              <a:cs typeface="Times New Roman" panose="02020603050405020304" pitchFamily="18" charset="0"/>
            </a:rPr>
            <a:t>Top 2</a:t>
          </a:r>
          <a:r>
            <a:rPr lang="en-US" sz="1400" baseline="0">
              <a:solidFill>
                <a:sysClr val="windowText" lastClr="000000"/>
              </a:solidFill>
              <a:latin typeface="Times New Roman" panose="02020603050405020304" pitchFamily="18" charset="0"/>
              <a:cs typeface="Times New Roman" panose="02020603050405020304" pitchFamily="18" charset="0"/>
            </a:rPr>
            <a:t> in </a:t>
          </a:r>
          <a:r>
            <a:rPr lang="en-US" sz="1400" b="1" i="0" baseline="0">
              <a:solidFill>
                <a:sysClr val="windowText" lastClr="000000"/>
              </a:solidFill>
              <a:latin typeface="Times New Roman" panose="02020603050405020304" pitchFamily="18" charset="0"/>
              <a:cs typeface="Times New Roman" panose="02020603050405020304" pitchFamily="18" charset="0"/>
            </a:rPr>
            <a:t>Revenue Impact </a:t>
          </a:r>
          <a:r>
            <a:rPr lang="en-US" sz="1400" baseline="0">
              <a:solidFill>
                <a:sysClr val="windowText" lastClr="000000"/>
              </a:solidFill>
              <a:latin typeface="Times New Roman" panose="02020603050405020304" pitchFamily="18" charset="0"/>
              <a:cs typeface="Times New Roman" panose="02020603050405020304" pitchFamily="18" charset="0"/>
            </a:rPr>
            <a:t>(</a:t>
          </a:r>
          <a:r>
            <a:rPr lang="en-US" sz="1400" i="1" baseline="0">
              <a:solidFill>
                <a:sysClr val="windowText" lastClr="000000"/>
              </a:solidFill>
              <a:latin typeface="Times New Roman" panose="02020603050405020304" pitchFamily="18" charset="0"/>
              <a:cs typeface="Times New Roman" panose="02020603050405020304" pitchFamily="18" charset="0"/>
            </a:rPr>
            <a:t>1st</a:t>
          </a:r>
          <a:r>
            <a:rPr lang="en-US" sz="1400" baseline="0">
              <a:solidFill>
                <a:sysClr val="windowText" lastClr="000000"/>
              </a:solidFill>
              <a:latin typeface="Times New Roman" panose="02020603050405020304" pitchFamily="18" charset="0"/>
              <a:cs typeface="Times New Roman" panose="02020603050405020304" pitchFamily="18" charset="0"/>
            </a:rPr>
            <a:t>), </a:t>
          </a:r>
          <a:r>
            <a:rPr lang="en-US" sz="1400" b="1" baseline="0">
              <a:solidFill>
                <a:sysClr val="windowText" lastClr="000000"/>
              </a:solidFill>
              <a:latin typeface="Times New Roman" panose="02020603050405020304" pitchFamily="18" charset="0"/>
              <a:cs typeface="Times New Roman" panose="02020603050405020304" pitchFamily="18" charset="0"/>
            </a:rPr>
            <a:t>Audit Effectiveness Score </a:t>
          </a:r>
          <a:r>
            <a:rPr lang="en-US" sz="1400" baseline="0">
              <a:solidFill>
                <a:sysClr val="windowText" lastClr="000000"/>
              </a:solidFill>
              <a:latin typeface="Times New Roman" panose="02020603050405020304" pitchFamily="18" charset="0"/>
              <a:cs typeface="Times New Roman" panose="02020603050405020304" pitchFamily="18" charset="0"/>
            </a:rPr>
            <a:t>(</a:t>
          </a:r>
          <a:r>
            <a:rPr lang="en-US" sz="1400" i="1" baseline="0">
              <a:solidFill>
                <a:sysClr val="windowText" lastClr="000000"/>
              </a:solidFill>
              <a:latin typeface="Times New Roman" panose="02020603050405020304" pitchFamily="18" charset="0"/>
              <a:cs typeface="Times New Roman" panose="02020603050405020304" pitchFamily="18" charset="0"/>
            </a:rPr>
            <a:t>2nd</a:t>
          </a:r>
          <a:r>
            <a:rPr lang="en-US" sz="1400" baseline="0">
              <a:solidFill>
                <a:sysClr val="windowText" lastClr="000000"/>
              </a:solidFill>
              <a:latin typeface="Times New Roman" panose="02020603050405020304" pitchFamily="18" charset="0"/>
              <a:cs typeface="Times New Roman" panose="02020603050405020304" pitchFamily="18" charset="0"/>
            </a:rPr>
            <a:t>) and </a:t>
          </a:r>
          <a:r>
            <a:rPr lang="en-US" sz="1400" b="1" baseline="0">
              <a:solidFill>
                <a:sysClr val="windowText" lastClr="000000"/>
              </a:solidFill>
              <a:latin typeface="Times New Roman" panose="02020603050405020304" pitchFamily="18" charset="0"/>
              <a:cs typeface="Times New Roman" panose="02020603050405020304" pitchFamily="18" charset="0"/>
            </a:rPr>
            <a:t>Client Satisfaction Score </a:t>
          </a:r>
          <a:r>
            <a:rPr lang="en-US" sz="1400" baseline="0">
              <a:solidFill>
                <a:sysClr val="windowText" lastClr="000000"/>
              </a:solidFill>
              <a:latin typeface="Times New Roman" panose="02020603050405020304" pitchFamily="18" charset="0"/>
              <a:cs typeface="Times New Roman" panose="02020603050405020304" pitchFamily="18" charset="0"/>
            </a:rPr>
            <a:t>(</a:t>
          </a:r>
          <a:r>
            <a:rPr lang="en-US" sz="1400" i="1" baseline="0">
              <a:solidFill>
                <a:sysClr val="windowText" lastClr="000000"/>
              </a:solidFill>
              <a:latin typeface="Times New Roman" panose="02020603050405020304" pitchFamily="18" charset="0"/>
              <a:cs typeface="Times New Roman" panose="02020603050405020304" pitchFamily="18" charset="0"/>
            </a:rPr>
            <a:t>2nd</a:t>
          </a:r>
          <a:r>
            <a:rPr lang="en-US" sz="1400" baseline="0">
              <a:solidFill>
                <a:sysClr val="windowText" lastClr="000000"/>
              </a:solidFill>
              <a:latin typeface="Times New Roman" panose="02020603050405020304" pitchFamily="18" charset="0"/>
              <a:cs typeface="Times New Roman" panose="02020603050405020304" pitchFamily="18" charset="0"/>
            </a:rPr>
            <a:t>).</a:t>
          </a:r>
        </a:p>
        <a:p>
          <a:endParaRPr lang="en-US" sz="1400" baseline="0">
            <a:solidFill>
              <a:sysClr val="windowText" lastClr="000000"/>
            </a:solidFill>
            <a:latin typeface="Times New Roman" panose="02020603050405020304" pitchFamily="18" charset="0"/>
            <a:cs typeface="Times New Roman" panose="02020603050405020304" pitchFamily="18" charset="0"/>
          </a:endParaRPr>
        </a:p>
        <a:p>
          <a:pPr algn="l"/>
          <a:r>
            <a:rPr lang="en-US" sz="1400" baseline="0">
              <a:solidFill>
                <a:sysClr val="windowText" lastClr="000000"/>
              </a:solidFill>
              <a:latin typeface="Times New Roman" panose="02020603050405020304" pitchFamily="18" charset="0"/>
              <a:cs typeface="Times New Roman" panose="02020603050405020304" pitchFamily="18" charset="0"/>
            </a:rPr>
            <a:t>II. In addition, it would be advisable for the client, should they invest in the Retail Sector to prioritize utilizing the services of </a:t>
          </a:r>
          <a:r>
            <a:rPr lang="en-US" sz="1400" b="1" baseline="0">
              <a:solidFill>
                <a:schemeClr val="accent4">
                  <a:lumMod val="75000"/>
                </a:schemeClr>
              </a:solidFill>
              <a:latin typeface="Times New Roman" panose="02020603050405020304" pitchFamily="18" charset="0"/>
              <a:cs typeface="Times New Roman" panose="02020603050405020304" pitchFamily="18" charset="0"/>
            </a:rPr>
            <a:t>KPMG </a:t>
          </a:r>
          <a:r>
            <a:rPr lang="en-US" sz="1400" b="0" baseline="0">
              <a:solidFill>
                <a:sysClr val="windowText" lastClr="000000"/>
              </a:solidFill>
              <a:latin typeface="Times New Roman" panose="02020603050405020304" pitchFamily="18" charset="0"/>
              <a:cs typeface="Times New Roman" panose="02020603050405020304" pitchFamily="18" charset="0"/>
            </a:rPr>
            <a:t>for Auditing</a:t>
          </a:r>
          <a:r>
            <a:rPr lang="en-US" sz="1400" b="1" baseline="0">
              <a:solidFill>
                <a:sysClr val="windowText" lastClr="000000"/>
              </a:solidFill>
              <a:latin typeface="Times New Roman" panose="02020603050405020304" pitchFamily="18" charset="0"/>
              <a:cs typeface="Times New Roman" panose="02020603050405020304" pitchFamily="18" charset="0"/>
            </a:rPr>
            <a:t>.</a:t>
          </a:r>
          <a:r>
            <a:rPr lang="en-US" sz="1400" b="1" baseline="0">
              <a:solidFill>
                <a:schemeClr val="accent4">
                  <a:lumMod val="75000"/>
                </a:schemeClr>
              </a:solidFill>
              <a:latin typeface="Times New Roman" panose="02020603050405020304" pitchFamily="18" charset="0"/>
              <a:cs typeface="Times New Roman" panose="02020603050405020304" pitchFamily="18" charset="0"/>
            </a:rPr>
            <a:t> </a:t>
          </a:r>
          <a:r>
            <a:rPr lang="en-US" sz="1400" b="0" baseline="0">
              <a:solidFill>
                <a:sysClr val="windowText" lastClr="000000"/>
              </a:solidFill>
              <a:latin typeface="Times New Roman" panose="02020603050405020304" pitchFamily="18" charset="0"/>
              <a:cs typeface="Times New Roman" panose="02020603050405020304" pitchFamily="18" charset="0"/>
            </a:rPr>
            <a:t>This is justified by KPMG having the highest </a:t>
          </a:r>
          <a:r>
            <a:rPr lang="en-US" sz="1400" b="0" i="1" baseline="0">
              <a:solidFill>
                <a:sysClr val="windowText" lastClr="000000"/>
              </a:solidFill>
              <a:latin typeface="Times New Roman" panose="02020603050405020304" pitchFamily="18" charset="0"/>
              <a:cs typeface="Times New Roman" panose="02020603050405020304" pitchFamily="18" charset="0"/>
            </a:rPr>
            <a:t>Work Efficiency Ratio</a:t>
          </a:r>
          <a:r>
            <a:rPr lang="en-US" sz="1400" b="0" baseline="0">
              <a:solidFill>
                <a:sysClr val="windowText" lastClr="000000"/>
              </a:solidFill>
              <a:latin typeface="Times New Roman" panose="02020603050405020304" pitchFamily="18" charset="0"/>
              <a:cs typeface="Times New Roman" panose="02020603050405020304" pitchFamily="18" charset="0"/>
            </a:rPr>
            <a:t> at </a:t>
          </a:r>
          <a:r>
            <a:rPr lang="en-US" sz="1400" b="1" baseline="0">
              <a:solidFill>
                <a:sysClr val="windowText" lastClr="000000"/>
              </a:solidFill>
              <a:latin typeface="Times New Roman" panose="02020603050405020304" pitchFamily="18" charset="0"/>
              <a:cs typeface="Times New Roman" panose="02020603050405020304" pitchFamily="18" charset="0"/>
            </a:rPr>
            <a:t>0.97</a:t>
          </a:r>
          <a:r>
            <a:rPr lang="en-US" sz="1400" b="0" baseline="0">
              <a:solidFill>
                <a:sysClr val="windowText" lastClr="000000"/>
              </a:solidFill>
              <a:latin typeface="Times New Roman" panose="02020603050405020304" pitchFamily="18" charset="0"/>
              <a:cs typeface="Times New Roman" panose="02020603050405020304" pitchFamily="18" charset="0"/>
            </a:rPr>
            <a:t> which exceeds the Retail Sector's </a:t>
          </a:r>
          <a:r>
            <a:rPr kumimoji="0" lang="en-US" sz="1400" b="0" i="1" u="none" strike="noStrike" kern="0" cap="none" spc="0" normalizeH="0" baseline="0" noProof="0">
              <a:ln>
                <a:noFill/>
              </a:ln>
              <a:solidFill>
                <a:sysClr val="windowText" lastClr="000000"/>
              </a:solidFill>
              <a:effectLst/>
              <a:uLnTx/>
              <a:uFillTx/>
              <a:latin typeface="Times New Roman" panose="02020603050405020304" pitchFamily="18" charset="0"/>
              <a:ea typeface="+mn-ea"/>
              <a:cs typeface="Times New Roman" panose="02020603050405020304" pitchFamily="18" charset="0"/>
            </a:rPr>
            <a:t>WER </a:t>
          </a:r>
          <a:r>
            <a:rPr lang="en-US" sz="1400" b="0" i="1" baseline="0">
              <a:solidFill>
                <a:sysClr val="windowText" lastClr="000000"/>
              </a:solidFill>
              <a:latin typeface="Times New Roman" panose="02020603050405020304" pitchFamily="18" charset="0"/>
              <a:cs typeface="Times New Roman" panose="02020603050405020304" pitchFamily="18" charset="0"/>
            </a:rPr>
            <a:t>Average </a:t>
          </a:r>
          <a:r>
            <a:rPr lang="en-US" sz="1400" b="0" baseline="0">
              <a:solidFill>
                <a:sysClr val="windowText" lastClr="000000"/>
              </a:solidFill>
              <a:latin typeface="Times New Roman" panose="02020603050405020304" pitchFamily="18" charset="0"/>
              <a:cs typeface="Times New Roman" panose="02020603050405020304" pitchFamily="18" charset="0"/>
            </a:rPr>
            <a:t>at </a:t>
          </a:r>
          <a:r>
            <a:rPr lang="en-US" sz="1400" b="1" baseline="0">
              <a:solidFill>
                <a:sysClr val="windowText" lastClr="000000"/>
              </a:solidFill>
              <a:latin typeface="Times New Roman" panose="02020603050405020304" pitchFamily="18" charset="0"/>
              <a:cs typeface="Times New Roman" panose="02020603050405020304" pitchFamily="18" charset="0"/>
            </a:rPr>
            <a:t>0.86</a:t>
          </a:r>
          <a:r>
            <a:rPr lang="en-US" sz="1400" b="0" baseline="0">
              <a:solidFill>
                <a:sysClr val="windowText" lastClr="000000"/>
              </a:solidFill>
              <a:latin typeface="Times New Roman" panose="02020603050405020304" pitchFamily="18" charset="0"/>
              <a:cs typeface="Times New Roman" panose="02020603050405020304" pitchFamily="18" charset="0"/>
            </a:rPr>
            <a:t>. That would imply KPMG manages to effectively detect </a:t>
          </a:r>
          <a:r>
            <a:rPr lang="en-US" sz="1400" b="1" baseline="0">
              <a:solidFill>
                <a:sysClr val="windowText" lastClr="000000"/>
              </a:solidFill>
              <a:latin typeface="Times New Roman" panose="02020603050405020304" pitchFamily="18" charset="0"/>
              <a:cs typeface="Times New Roman" panose="02020603050405020304" pitchFamily="18" charset="0"/>
            </a:rPr>
            <a:t>0.97 Fraud Cases per Hour per Week</a:t>
          </a:r>
          <a:r>
            <a:rPr lang="en-US" sz="1400" b="0" baseline="0">
              <a:solidFill>
                <a:sysClr val="windowText" lastClr="000000"/>
              </a:solidFill>
              <a:latin typeface="Times New Roman" panose="02020603050405020304" pitchFamily="18" charset="0"/>
              <a:cs typeface="Times New Roman" panose="02020603050405020304" pitchFamily="18" charset="0"/>
            </a:rPr>
            <a:t> in the Retail Sector</a:t>
          </a:r>
          <a:r>
            <a:rPr lang="en-US" sz="1100" b="0" baseline="0">
              <a:solidFill>
                <a:sysClr val="windowText" lastClr="000000"/>
              </a:solidFill>
              <a:latin typeface="Times New Roman" panose="02020603050405020304" pitchFamily="18" charset="0"/>
              <a:cs typeface="Times New Roman" panose="02020603050405020304" pitchFamily="18" charset="0"/>
            </a:rPr>
            <a:t>.</a:t>
          </a:r>
        </a:p>
        <a:p>
          <a:pPr algn="l"/>
          <a:endParaRPr lang="en-US" sz="1100" b="0" baseline="0">
            <a:solidFill>
              <a:sysClr val="windowText" lastClr="000000"/>
            </a:solidFill>
            <a:latin typeface="Times New Roman" panose="02020603050405020304" pitchFamily="18" charset="0"/>
            <a:cs typeface="Times New Roman" panose="02020603050405020304" pitchFamily="18" charset="0"/>
          </a:endParaRPr>
        </a:p>
        <a:p>
          <a:pPr algn="l"/>
          <a:endParaRPr lang="en-US" sz="1100" b="0" baseline="0">
            <a:solidFill>
              <a:sysClr val="windowText" lastClr="000000"/>
            </a:solidFill>
            <a:latin typeface="Times New Roman" panose="02020603050405020304" pitchFamily="18" charset="0"/>
            <a:cs typeface="Times New Roman" panose="02020603050405020304" pitchFamily="18" charset="0"/>
          </a:endParaRPr>
        </a:p>
        <a:p>
          <a:pPr algn="l"/>
          <a:endParaRPr lang="en-US" sz="1100" b="0" baseline="0">
            <a:solidFill>
              <a:sysClr val="windowText" lastClr="000000"/>
            </a:solidFill>
            <a:latin typeface="Times New Roman" panose="02020603050405020304" pitchFamily="18" charset="0"/>
            <a:cs typeface="Times New Roman" panose="02020603050405020304" pitchFamily="18" charset="0"/>
          </a:endParaRPr>
        </a:p>
        <a:p>
          <a:pPr algn="l"/>
          <a:endParaRPr lang="en-US" sz="1100" b="0" baseline="0">
            <a:solidFill>
              <a:sysClr val="windowText" lastClr="000000"/>
            </a:solidFill>
            <a:latin typeface="Times New Roman" panose="02020603050405020304" pitchFamily="18" charset="0"/>
            <a:cs typeface="Times New Roman" panose="02020603050405020304" pitchFamily="18" charset="0"/>
          </a:endParaRPr>
        </a:p>
        <a:p>
          <a:pPr algn="l"/>
          <a:endParaRPr lang="en-US" sz="1100" b="1" baseline="0">
            <a:solidFill>
              <a:schemeClr val="accent4">
                <a:lumMod val="75000"/>
              </a:schemeClr>
            </a:solidFill>
            <a:latin typeface="Times New Roman" panose="02020603050405020304" pitchFamily="18" charset="0"/>
            <a:cs typeface="Times New Roman" panose="02020603050405020304" pitchFamily="18"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dmin" refreshedDate="45760.128243287036" createdVersion="5" refreshedVersion="6" minRefreshableVersion="3" recordCount="0" supportSubquery="1" supportAdvancedDrill="1">
  <cacheSource type="external" connectionId="2"/>
  <cacheFields count="3">
    <cacheField name="[Measures].[Average of Work_Efficiency_Ratio]" caption="Average of Work_Efficiency_Ratio" numFmtId="0" hierarchy="26" level="32767"/>
    <cacheField name="[Data].[Firm_Name].[Firm_Name]" caption="Firm_Name" numFmtId="0" hierarchy="1" level="1">
      <sharedItems count="4">
        <s v="Deloitte"/>
        <s v="Ernst &amp; Young"/>
        <s v="KPMG"/>
        <s v="PwC"/>
      </sharedItems>
    </cacheField>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fieldsUsage count="2">
        <fieldUsage x="-1"/>
        <fieldUsage x="1"/>
      </fieldsUsage>
    </cacheHierarchy>
    <cacheHierarchy uniqueName="[Data].[Industry_Affected]" caption="Industry_Affected" attribute="1" defaultMemberUniqueName="[Data].[Industry_Affected].[All]" allUniqueName="[Data].[Industry_Affected].[All]" dimensionUniqueName="[Data]" displayFolder="" count="2" memberValueDatatype="130" unbalanced="0"/>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2"/>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oneField="1">
      <fieldsUsage count="1">
        <fieldUsage x="0"/>
      </fieldsUsage>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dmin" refreshedDate="45760.128243865744" createdVersion="5" refreshedVersion="6" minRefreshableVersion="3" recordCount="0" supportSubquery="1" supportAdvancedDrill="1">
  <cacheSource type="external" connectionId="2"/>
  <cacheFields count="2">
    <cacheField name="[Measures].[Count of AI_Used_for_Auditing]" caption="Count of AI_Used_for_Auditing" numFmtId="0" hierarchy="15" level="32767"/>
    <cacheField name="[Data].[AI_Used_for_Auditing].[AI_Used_for_Auditing]" caption="AI_Used_for_Auditing" numFmtId="0" hierarchy="3" level="1">
      <sharedItems count="2">
        <s v="No"/>
        <s v="Yes"/>
      </sharedItems>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1"/>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oneField="1">
      <fieldsUsage count="1">
        <fieldUsage x="0"/>
      </fieldsUsage>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dmin" refreshedDate="45760.128244328705" createdVersion="5" refreshedVersion="6" minRefreshableVersion="3" recordCount="0" supportSubquery="1" supportAdvancedDrill="1">
  <cacheSource type="external" connectionId="2"/>
  <cacheFields count="7">
    <cacheField name="[Measures].[Avg Employee Workload]" caption="Avg Employee Workload" numFmtId="0" hierarchy="35" level="32767"/>
    <cacheField name="[Measures].[Revenue Impact]" caption="Revenue Impact" numFmtId="0" hierarchy="34" level="32767"/>
    <cacheField name="[Measures].[Audit Effectiveness Score]" caption="Audit Effectiveness Score" numFmtId="0" hierarchy="36" level="32767"/>
    <cacheField name="[Measures].[Client Satisfaction Score]" caption="Client Satisfaction Score" numFmtId="0" hierarchy="37" level="32767"/>
    <cacheField name="[Measures].[Compliance Breach Rate]" caption="Compliance Breach Rate" numFmtId="0" hierarchy="38" level="32767"/>
    <cacheField name="[Measures].[Work Efficiency Ratio]" caption="Work Efficiency Ratio" numFmtId="0" hierarchy="39" level="32767"/>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6"/>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oneField="1">
      <fieldsUsage count="1">
        <fieldUsage x="1"/>
      </fieldsUsage>
    </cacheHierarchy>
    <cacheHierarchy uniqueName="[Measures].[Avg Employee Workload]" caption="Avg Employee Workload" measure="1" displayFolder="" measureGroup="Data" count="0" oneField="1">
      <fieldsUsage count="1">
        <fieldUsage x="0"/>
      </fieldsUsage>
    </cacheHierarchy>
    <cacheHierarchy uniqueName="[Measures].[Audit Effectiveness Score]" caption="Audit Effectiveness Score" measure="1" displayFolder="" measureGroup="Data" count="0" oneField="1">
      <fieldsUsage count="1">
        <fieldUsage x="2"/>
      </fieldsUsage>
    </cacheHierarchy>
    <cacheHierarchy uniqueName="[Measures].[Client Satisfaction Score]" caption="Client Satisfaction Score" measure="1" displayFolder="" measureGroup="Data" count="0" oneField="1">
      <fieldsUsage count="1">
        <fieldUsage x="3"/>
      </fieldsUsage>
    </cacheHierarchy>
    <cacheHierarchy uniqueName="[Measures].[Compliance Breach Rate]" caption="Compliance Breach Rate" measure="1" displayFolder="" measureGroup="Data" count="0" oneField="1">
      <fieldsUsage count="1">
        <fieldUsage x="4"/>
      </fieldsUsage>
    </cacheHierarchy>
    <cacheHierarchy uniqueName="[Measures].[Work Efficiency Ratio]" caption="Work Efficiency Ratio" measure="1" displayFolder="" measureGroup="Data" count="0" oneField="1">
      <fieldsUsage count="1">
        <fieldUsage x="5"/>
      </fieldsUsage>
    </cacheHierarchy>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dmin" refreshedDate="45760.128244907406" createdVersion="5" refreshedVersion="6" minRefreshableVersion="3" recordCount="0" supportSubquery="1" supportAdvancedDrill="1">
  <cacheSource type="external" connectionId="2"/>
  <cacheFields count="3">
    <cacheField name="[Measures].[Sum of Compliance_Violations]" caption="Sum of Compliance_Violations" numFmtId="0" hierarchy="17" level="32767"/>
    <cacheField name="[Data].[Industry_Affected].[Industry_Affected]" caption="Industry_Affected" numFmtId="0" hierarchy="2" level="1">
      <sharedItems count="4">
        <s v="Finance"/>
        <s v="Healthcare"/>
        <s v="Retail"/>
        <s v="Tech"/>
      </sharedItems>
    </cacheField>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1"/>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2"/>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oneField="1">
      <fieldsUsage count="1">
        <fieldUsage x="0"/>
      </fieldsUsage>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dmin" refreshedDate="45760.128245486114" createdVersion="5" refreshedVersion="6" minRefreshableVersion="3" recordCount="0" supportSubquery="1" supportAdvancedDrill="1">
  <cacheSource type="external" connectionId="2"/>
  <cacheFields count="3">
    <cacheField name="[Data].[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Data].[Year].&amp;[2020]"/>
            <x15:cachedUniqueName index="1" name="[Data].[Year].&amp;[2021]"/>
            <x15:cachedUniqueName index="2" name="[Data].[Year].&amp;[2022]"/>
            <x15:cachedUniqueName index="3" name="[Data].[Year].&amp;[2023]"/>
            <x15:cachedUniqueName index="4" name="[Data].[Year].&amp;[2024]"/>
            <x15:cachedUniqueName index="5" name="[Data].[Year].&amp;[2025]"/>
          </x15:cachedUniqueNames>
        </ext>
      </extLst>
    </cacheField>
    <cacheField name="[Measures].[Average of Client_Satisfaction_Score]" caption="Average of Client_Satisfaction_Score" numFmtId="0" hierarchy="20" level="32767"/>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fieldsUsage count="2">
        <fieldUsage x="-1"/>
        <fieldUsage x="0"/>
      </fieldsUsage>
    </cacheHierarchy>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2"/>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oneField="1">
      <fieldsUsage count="1">
        <fieldUsage x="1"/>
      </fieldsUsage>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Admin" refreshedDate="45760.128245949076" createdVersion="5" refreshedVersion="6" minRefreshableVersion="3" recordCount="0" supportSubquery="1" supportAdvancedDrill="1">
  <cacheSource type="external" connectionId="2"/>
  <cacheFields count="3">
    <cacheField name="[Data].[Year].[Year]" caption="Year" numFmtId="0" level="1">
      <sharedItems containsSemiMixedTypes="0" containsString="0" containsNumber="1" containsInteger="1" minValue="2020" maxValue="2025" count="6">
        <n v="2020"/>
        <n v="2021"/>
        <n v="2022"/>
        <n v="2023"/>
        <n v="2024"/>
        <n v="2025"/>
      </sharedItems>
      <extLst>
        <ext xmlns:x15="http://schemas.microsoft.com/office/spreadsheetml/2010/11/main" uri="{4F2E5C28-24EA-4eb8-9CBF-B6C8F9C3D259}">
          <x15:cachedUniqueNames>
            <x15:cachedUniqueName index="0" name="[Data].[Year].&amp;[2020]"/>
            <x15:cachedUniqueName index="1" name="[Data].[Year].&amp;[2021]"/>
            <x15:cachedUniqueName index="2" name="[Data].[Year].&amp;[2022]"/>
            <x15:cachedUniqueName index="3" name="[Data].[Year].&amp;[2023]"/>
            <x15:cachedUniqueName index="4" name="[Data].[Year].&amp;[2024]"/>
            <x15:cachedUniqueName index="5" name="[Data].[Year].&amp;[2025]"/>
          </x15:cachedUniqueNames>
        </ext>
      </extLst>
    </cacheField>
    <cacheField name="[Measures].[Average of Audit_Effectiveness_Score]" caption="Average of Audit_Effectiveness_Score" numFmtId="0" hierarchy="22" level="32767"/>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fieldsUsage count="2">
        <fieldUsage x="-1"/>
        <fieldUsage x="0"/>
      </fieldsUsage>
    </cacheHierarchy>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2"/>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oneField="1">
      <fieldsUsage count="1">
        <fieldUsage x="1"/>
      </fieldsUsage>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Admin" refreshedDate="45760.128246759261" createdVersion="5" refreshedVersion="6" minRefreshableVersion="3" recordCount="0" supportSubquery="1" supportAdvancedDrill="1">
  <cacheSource type="external" connectionId="2"/>
  <cacheFields count="3">
    <cacheField name="[Measures].[Average of Compliance_Breach_Rate]" caption="Average of Compliance_Breach_Rate" numFmtId="0" hierarchy="24" level="32767"/>
    <cacheField name="[Data].[Employee_Workload].[Employee_Workload]" caption="Employee_Workload" numFmtId="0" hierarchy="9" level="1">
      <sharedItems containsSemiMixedTypes="0" containsString="0" containsNumber="1" containsInteger="1" minValue="40" maxValue="80" count="40">
        <n v="40"/>
        <n v="41"/>
        <n v="42"/>
        <n v="43"/>
        <n v="44"/>
        <n v="45"/>
        <n v="46"/>
        <n v="47"/>
        <n v="48"/>
        <n v="49"/>
        <n v="50"/>
        <n v="51"/>
        <n v="52"/>
        <n v="53"/>
        <n v="54"/>
        <n v="55"/>
        <n v="56"/>
        <n v="57"/>
        <n v="58"/>
        <n v="59"/>
        <n v="60"/>
        <n v="61"/>
        <n v="62"/>
        <n v="63"/>
        <n v="64"/>
        <n v="65"/>
        <n v="66"/>
        <n v="67"/>
        <n v="68"/>
        <n v="69"/>
        <n v="70"/>
        <n v="71"/>
        <n v="73"/>
        <n v="74"/>
        <n v="75"/>
        <n v="76"/>
        <n v="77"/>
        <n v="78"/>
        <n v="79"/>
        <n v="80"/>
      </sharedItems>
      <extLst>
        <ext xmlns:x15="http://schemas.microsoft.com/office/spreadsheetml/2010/11/main" uri="{4F2E5C28-24EA-4eb8-9CBF-B6C8F9C3D259}">
          <x15:cachedUniqueNames>
            <x15:cachedUniqueName index="0" name="[Data].[Employee_Workload].&amp;[40]"/>
            <x15:cachedUniqueName index="1" name="[Data].[Employee_Workload].&amp;[41]"/>
            <x15:cachedUniqueName index="2" name="[Data].[Employee_Workload].&amp;[42]"/>
            <x15:cachedUniqueName index="3" name="[Data].[Employee_Workload].&amp;[43]"/>
            <x15:cachedUniqueName index="4" name="[Data].[Employee_Workload].&amp;[44]"/>
            <x15:cachedUniqueName index="5" name="[Data].[Employee_Workload].&amp;[45]"/>
            <x15:cachedUniqueName index="6" name="[Data].[Employee_Workload].&amp;[46]"/>
            <x15:cachedUniqueName index="7" name="[Data].[Employee_Workload].&amp;[47]"/>
            <x15:cachedUniqueName index="8" name="[Data].[Employee_Workload].&amp;[48]"/>
            <x15:cachedUniqueName index="9" name="[Data].[Employee_Workload].&amp;[49]"/>
            <x15:cachedUniqueName index="10" name="[Data].[Employee_Workload].&amp;[50]"/>
            <x15:cachedUniqueName index="11" name="[Data].[Employee_Workload].&amp;[51]"/>
            <x15:cachedUniqueName index="12" name="[Data].[Employee_Workload].&amp;[52]"/>
            <x15:cachedUniqueName index="13" name="[Data].[Employee_Workload].&amp;[53]"/>
            <x15:cachedUniqueName index="14" name="[Data].[Employee_Workload].&amp;[54]"/>
            <x15:cachedUniqueName index="15" name="[Data].[Employee_Workload].&amp;[55]"/>
            <x15:cachedUniqueName index="16" name="[Data].[Employee_Workload].&amp;[56]"/>
            <x15:cachedUniqueName index="17" name="[Data].[Employee_Workload].&amp;[57]"/>
            <x15:cachedUniqueName index="18" name="[Data].[Employee_Workload].&amp;[58]"/>
            <x15:cachedUniqueName index="19" name="[Data].[Employee_Workload].&amp;[59]"/>
            <x15:cachedUniqueName index="20" name="[Data].[Employee_Workload].&amp;[60]"/>
            <x15:cachedUniqueName index="21" name="[Data].[Employee_Workload].&amp;[61]"/>
            <x15:cachedUniqueName index="22" name="[Data].[Employee_Workload].&amp;[62]"/>
            <x15:cachedUniqueName index="23" name="[Data].[Employee_Workload].&amp;[63]"/>
            <x15:cachedUniqueName index="24" name="[Data].[Employee_Workload].&amp;[64]"/>
            <x15:cachedUniqueName index="25" name="[Data].[Employee_Workload].&amp;[65]"/>
            <x15:cachedUniqueName index="26" name="[Data].[Employee_Workload].&amp;[66]"/>
            <x15:cachedUniqueName index="27" name="[Data].[Employee_Workload].&amp;[67]"/>
            <x15:cachedUniqueName index="28" name="[Data].[Employee_Workload].&amp;[68]"/>
            <x15:cachedUniqueName index="29" name="[Data].[Employee_Workload].&amp;[69]"/>
            <x15:cachedUniqueName index="30" name="[Data].[Employee_Workload].&amp;[70]"/>
            <x15:cachedUniqueName index="31" name="[Data].[Employee_Workload].&amp;[71]"/>
            <x15:cachedUniqueName index="32" name="[Data].[Employee_Workload].&amp;[73]"/>
            <x15:cachedUniqueName index="33" name="[Data].[Employee_Workload].&amp;[74]"/>
            <x15:cachedUniqueName index="34" name="[Data].[Employee_Workload].&amp;[75]"/>
            <x15:cachedUniqueName index="35" name="[Data].[Employee_Workload].&amp;[76]"/>
            <x15:cachedUniqueName index="36" name="[Data].[Employee_Workload].&amp;[77]"/>
            <x15:cachedUniqueName index="37" name="[Data].[Employee_Workload].&amp;[78]"/>
            <x15:cachedUniqueName index="38" name="[Data].[Employee_Workload].&amp;[79]"/>
            <x15:cachedUniqueName index="39" name="[Data].[Employee_Workload].&amp;[80]"/>
          </x15:cachedUniqueNames>
        </ext>
      </extLst>
    </cacheField>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2"/>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2" memberValueDatatype="20" unbalanced="0">
      <fieldsUsage count="2">
        <fieldUsage x="-1"/>
        <fieldUsage x="1"/>
      </fieldsUsage>
    </cacheHierarchy>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oneField="1">
      <fieldsUsage count="1">
        <fieldUsage x="0"/>
      </fieldsUsage>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Admin" refreshedDate="45760.1282474537" createdVersion="5" refreshedVersion="6" minRefreshableVersion="3" recordCount="0" supportSubquery="1" supportAdvancedDrill="1">
  <cacheSource type="external" connectionId="2"/>
  <cacheFields count="3">
    <cacheField name="[Measures].[Sum of Total_Revenue_Impact]" caption="Sum of Total_Revenue_Impact" numFmtId="0" hierarchy="16" level="32767"/>
    <cacheField name="[Data].[Industry_Affected].[Industry_Affected]" caption="Industry_Affected" numFmtId="0" hierarchy="2" level="1">
      <sharedItems count="4">
        <s v="Finance"/>
        <s v="Healthcare"/>
        <s v="Retail"/>
        <s v="Tech"/>
      </sharedItems>
    </cacheField>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1"/>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2"/>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oneField="1">
      <fieldsUsage count="1">
        <fieldUsage x="0"/>
      </fieldsUsage>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Admin" refreshedDate="45760.128247916669" createdVersion="5" refreshedVersion="6" minRefreshableVersion="3" recordCount="0" supportSubquery="1" supportAdvancedDrill="1">
  <cacheSource type="external" connectionId="2"/>
  <cacheFields count="3">
    <cacheField name="[Data].[Industry_Affected].[Industry_Affected]" caption="Industry_Affected" numFmtId="0" hierarchy="2" level="1">
      <sharedItems count="4">
        <s v="Finance"/>
        <s v="Healthcare"/>
        <s v="Retail"/>
        <s v="Tech"/>
      </sharedItems>
    </cacheField>
    <cacheField name="[Measures].[CSS]" caption="CSS" numFmtId="0" hierarchy="31" level="32767"/>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0"/>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2"/>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oneField="1">
      <fieldsUsage count="1">
        <fieldUsage x="1"/>
      </fieldsUsage>
    </cacheHierarchy>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Admin" refreshedDate="45760.12824849537" createdVersion="5" refreshedVersion="6" minRefreshableVersion="3" recordCount="0" supportSubquery="1" supportAdvancedDrill="1">
  <cacheSource type="external" connectionId="2"/>
  <cacheFields count="3">
    <cacheField name="[Data].[Industry_Affected].[Industry_Affected]" caption="Industry_Affected" numFmtId="0" hierarchy="2" level="1">
      <sharedItems count="4">
        <s v="Finance"/>
        <s v="Healthcare"/>
        <s v="Retail"/>
        <s v="Tech"/>
      </sharedItems>
    </cacheField>
    <cacheField name="[Measures].[CBR]" caption="CBR" numFmtId="0" hierarchy="32" level="32767"/>
    <cacheField name="[Data].[AI_Used_for_Auditing].[AI_Used_for_Auditing]" caption="AI_Used_for_Auditing" numFmtId="0" hierarchy="3" level="1">
      <sharedItems containsSemiMixedTypes="0" containsNonDate="0" containsString="0"/>
    </cacheField>
  </cacheFields>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fieldsUsage count="2">
        <fieldUsage x="-1"/>
        <fieldUsage x="0"/>
      </fieldsUsage>
    </cacheHierarchy>
    <cacheHierarchy uniqueName="[Data].[AI_Used_for_Auditing]" caption="AI_Used_for_Auditing" attribute="1" defaultMemberUniqueName="[Data].[AI_Used_for_Auditing].[All]" allUniqueName="[Data].[AI_Used_for_Auditing].[All]" dimensionUniqueName="[Data]" displayFolder="" count="2" memberValueDatatype="130" unbalanced="0">
      <fieldsUsage count="2">
        <fieldUsage x="-1"/>
        <fieldUsage x="2"/>
      </fieldsUsage>
    </cacheHierarchy>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oneField="1">
      <fieldsUsage count="1">
        <fieldUsage x="1"/>
      </fieldsUsage>
    </cacheHierarchy>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dimensions count="2">
    <dimension name="Data" uniqueName="[Data]" caption="Data"/>
    <dimension measure="1" name="Measures" uniqueName="[Measures]" caption="Measures"/>
  </dimensions>
  <measureGroups count="1">
    <measureGroup name="Data" caption="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Admin" refreshedDate="45759.62341122685" createdVersion="3" refreshedVersion="6" minRefreshableVersion="3" recordCount="0" supportSubquery="1" supportAdvancedDrill="1">
  <cacheSource type="external" connectionId="2">
    <extLst>
      <ext xmlns:x14="http://schemas.microsoft.com/office/spreadsheetml/2009/9/main" uri="{F057638F-6D5F-4e77-A914-E7F072B9BCA8}">
        <x14:sourceConnection name="ThisWorkbookDataModel"/>
      </ext>
    </extLst>
  </cacheSource>
  <cacheFields count="0"/>
  <cacheHierarchies count="42">
    <cacheHierarchy uniqueName="[Data].[Year]" caption="Year" attribute="1" defaultMemberUniqueName="[Data].[Year].[All]" allUniqueName="[Data].[Year].[All]" dimensionUniqueName="[Data]" displayFolder="" count="2" memberValueDatatype="20" unbalanced="0"/>
    <cacheHierarchy uniqueName="[Data].[Firm_Name]" caption="Firm_Name" attribute="1" defaultMemberUniqueName="[Data].[Firm_Name].[All]" allUniqueName="[Data].[Firm_Name].[All]" dimensionUniqueName="[Data]" displayFolder="" count="2" memberValueDatatype="130" unbalanced="0"/>
    <cacheHierarchy uniqueName="[Data].[Industry_Affected]" caption="Industry_Affected" attribute="1" defaultMemberUniqueName="[Data].[Industry_Affected].[All]" allUniqueName="[Data].[Industry_Affected].[All]" dimensionUniqueName="[Data]" displayFolder="" count="2" memberValueDatatype="130" unbalanced="0"/>
    <cacheHierarchy uniqueName="[Data].[AI_Used_for_Auditing]" caption="AI_Used_for_Auditing" attribute="1" defaultMemberUniqueName="[Data].[AI_Used_for_Auditing].[All]" allUniqueName="[Data].[AI_Used_for_Auditing].[All]" dimensionUniqueName="[Data]" displayFolder="" count="2" memberValueDatatype="130" unbalanced="0"/>
    <cacheHierarchy uniqueName="[Data].[Total_Audit_Engagements]" caption="Total_Audit_Engagements" attribute="1" defaultMemberUniqueName="[Data].[Total_Audit_Engagements].[All]" allUniqueName="[Data].[Total_Audit_Engagements].[All]" dimensionUniqueName="[Data]" displayFolder="" count="0" memberValueDatatype="20" unbalanced="0"/>
    <cacheHierarchy uniqueName="[Data].[High_Risk_Cases]" caption="High_Risk_Cases" attribute="1" defaultMemberUniqueName="[Data].[High_Risk_Cases].[All]" allUniqueName="[Data].[High_Risk_Cases].[All]" dimensionUniqueName="[Data]" displayFolder="" count="0" memberValueDatatype="20" unbalanced="0"/>
    <cacheHierarchy uniqueName="[Data].[Compliance_Violations]" caption="Compliance_Violations" attribute="1" defaultMemberUniqueName="[Data].[Compliance_Violations].[All]" allUniqueName="[Data].[Compliance_Violations].[All]" dimensionUniqueName="[Data]" displayFolder="" count="0" memberValueDatatype="20" unbalanced="0"/>
    <cacheHierarchy uniqueName="[Data].[Compliance_Breach_Rate]" caption="Compliance_Breach_Rate" attribute="1" defaultMemberUniqueName="[Data].[Compliance_Breach_Rate].[All]" allUniqueName="[Data].[Compliance_Breach_Rate].[All]" dimensionUniqueName="[Data]" displayFolder="" count="0" memberValueDatatype="5" unbalanced="0"/>
    <cacheHierarchy uniqueName="[Data].[Fraud_Cases_Detected]" caption="Fraud_Cases_Detected" attribute="1" defaultMemberUniqueName="[Data].[Fraud_Cases_Detected].[All]" allUniqueName="[Data].[Fraud_Cases_Detected].[All]" dimensionUniqueName="[Data]" displayFolder="" count="0" memberValueDatatype="20" unbalanced="0"/>
    <cacheHierarchy uniqueName="[Data].[Employee_Workload]" caption="Employee_Workload" attribute="1" defaultMemberUniqueName="[Data].[Employee_Workload].[All]" allUniqueName="[Data].[Employee_Workload].[All]" dimensionUniqueName="[Data]" displayFolder="" count="0" memberValueDatatype="20" unbalanced="0"/>
    <cacheHierarchy uniqueName="[Data].[Work_Efficiency_Ratio]" caption="Work_Efficiency_Ratio" attribute="1" defaultMemberUniqueName="[Data].[Work_Efficiency_Ratio].[All]" allUniqueName="[Data].[Work_Efficiency_Ratio].[All]" dimensionUniqueName="[Data]" displayFolder="" count="0" memberValueDatatype="5" unbalanced="0"/>
    <cacheHierarchy uniqueName="[Data].[Workload_Category]" caption="Workload_Category" attribute="1" defaultMemberUniqueName="[Data].[Workload_Category].[All]" allUniqueName="[Data].[Workload_Category].[All]" dimensionUniqueName="[Data]" displayFolder="" count="2" memberValueDatatype="130" unbalanced="0"/>
    <cacheHierarchy uniqueName="[Data].[Audit_Effectiveness_Score]" caption="Audit_Effectiveness_Score" attribute="1" defaultMemberUniqueName="[Data].[Audit_Effectiveness_Score].[All]" allUniqueName="[Data].[Audit_Effectiveness_Score].[All]" dimensionUniqueName="[Data]" displayFolder="" count="0" memberValueDatatype="5" unbalanced="0"/>
    <cacheHierarchy uniqueName="[Data].[Client_Satisfaction_Score]" caption="Client_Satisfaction_Score" attribute="1" defaultMemberUniqueName="[Data].[Client_Satisfaction_Score].[All]" allUniqueName="[Data].[Client_Satisfaction_Score].[All]" dimensionUniqueName="[Data]" displayFolder="" count="0" memberValueDatatype="5" unbalanced="0"/>
    <cacheHierarchy uniqueName="[Data].[Total_Revenue_Impact]" caption="Total_Revenue_Impact" attribute="1" defaultMemberUniqueName="[Data].[Total_Revenue_Impact].[All]" allUniqueName="[Data].[Total_Revenue_Impact].[All]" dimensionUniqueName="[Data]" displayFolder="" count="0" memberValueDatatype="20" unbalanced="0"/>
    <cacheHierarchy uniqueName="[Measures].[Count of AI_Used_for_Auditing]" caption="Count of AI_Used_for_Auditing" measure="1" displayFolder="" measureGroup="Data" count="0">
      <extLst>
        <ext xmlns:x15="http://schemas.microsoft.com/office/spreadsheetml/2010/11/main" uri="{B97F6D7D-B522-45F9-BDA1-12C45D357490}">
          <x15:cacheHierarchy aggregatedColumn="3"/>
        </ext>
      </extLst>
    </cacheHierarchy>
    <cacheHierarchy uniqueName="[Measures].[Sum of Total_Revenue_Impact]" caption="Sum of Total_Revenue_Impact" measure="1" displayFolder="" measureGroup="Data" count="0">
      <extLst>
        <ext xmlns:x15="http://schemas.microsoft.com/office/spreadsheetml/2010/11/main" uri="{B97F6D7D-B522-45F9-BDA1-12C45D357490}">
          <x15:cacheHierarchy aggregatedColumn="14"/>
        </ext>
      </extLst>
    </cacheHierarchy>
    <cacheHierarchy uniqueName="[Measures].[Sum of Compliance_Violations]" caption="Sum of Compliance_Violations" measure="1" displayFolder="" measureGroup="Data" count="0">
      <extLst>
        <ext xmlns:x15="http://schemas.microsoft.com/office/spreadsheetml/2010/11/main" uri="{B97F6D7D-B522-45F9-BDA1-12C45D357490}">
          <x15:cacheHierarchy aggregatedColumn="6"/>
        </ext>
      </extLst>
    </cacheHierarchy>
    <cacheHierarchy uniqueName="[Measures].[Sum of Year]" caption="Sum of Year" measure="1" displayFolder="" measureGroup="Data" count="0">
      <extLst>
        <ext xmlns:x15="http://schemas.microsoft.com/office/spreadsheetml/2010/11/main" uri="{B97F6D7D-B522-45F9-BDA1-12C45D357490}">
          <x15:cacheHierarchy aggregatedColumn="0"/>
        </ext>
      </extLst>
    </cacheHierarchy>
    <cacheHierarchy uniqueName="[Measures].[Sum of Client_Satisfaction_Score]" caption="Sum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Average of Client_Satisfaction_Score]" caption="Average of Client_Satisfaction_Score" measure="1" displayFolder="" measureGroup="Data" count="0">
      <extLst>
        <ext xmlns:x15="http://schemas.microsoft.com/office/spreadsheetml/2010/11/main" uri="{B97F6D7D-B522-45F9-BDA1-12C45D357490}">
          <x15:cacheHierarchy aggregatedColumn="13"/>
        </ext>
      </extLst>
    </cacheHierarchy>
    <cacheHierarchy uniqueName="[Measures].[Sum of Audit_Effectiveness_Score]" caption="Sum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Average of Audit_Effectiveness_Score]" caption="Average of Audit_Effectiveness_Score" measure="1" displayFolder="" measureGroup="Data" count="0">
      <extLst>
        <ext xmlns:x15="http://schemas.microsoft.com/office/spreadsheetml/2010/11/main" uri="{B97F6D7D-B522-45F9-BDA1-12C45D357490}">
          <x15:cacheHierarchy aggregatedColumn="12"/>
        </ext>
      </extLst>
    </cacheHierarchy>
    <cacheHierarchy uniqueName="[Measures].[Sum of Compliance_Breach_Rate]" caption="Sum of Compliance_Breach_Rate" measure="1" displayFolder="" measureGroup="Data" count="0">
      <extLst>
        <ext xmlns:x15="http://schemas.microsoft.com/office/spreadsheetml/2010/11/main" uri="{B97F6D7D-B522-45F9-BDA1-12C45D357490}">
          <x15:cacheHierarchy aggregatedColumn="7"/>
        </ext>
      </extLst>
    </cacheHierarchy>
    <cacheHierarchy uniqueName="[Measures].[Average of Compliance_Breach_Rate]" caption="Average of Compliance_Breach_Rate" measure="1" displayFolder="" measureGroup="Data" count="0">
      <extLst>
        <ext xmlns:x15="http://schemas.microsoft.com/office/spreadsheetml/2010/11/main" uri="{B97F6D7D-B522-45F9-BDA1-12C45D357490}">
          <x15:cacheHierarchy aggregatedColumn="7"/>
        </ext>
      </extLst>
    </cacheHierarchy>
    <cacheHierarchy uniqueName="[Measures].[Sum of Work_Efficiency_Ratio]" caption="Sum of Work_Efficiency_Ratio" measure="1" displayFolder="" measureGroup="Data" count="0">
      <extLst>
        <ext xmlns:x15="http://schemas.microsoft.com/office/spreadsheetml/2010/11/main" uri="{B97F6D7D-B522-45F9-BDA1-12C45D357490}">
          <x15:cacheHierarchy aggregatedColumn="10"/>
        </ext>
      </extLst>
    </cacheHierarchy>
    <cacheHierarchy uniqueName="[Measures].[Average of Work_Efficiency_Ratio]" caption="Average of Work_Efficiency_Ratio" measure="1" displayFolder="" measureGroup="Data" count="0">
      <extLst>
        <ext xmlns:x15="http://schemas.microsoft.com/office/spreadsheetml/2010/11/main" uri="{B97F6D7D-B522-45F9-BDA1-12C45D357490}">
          <x15:cacheHierarchy aggregatedColumn="10"/>
        </ext>
      </extLst>
    </cacheHierarchy>
    <cacheHierarchy uniqueName="[Measures].[Audit Engagements]" caption="Audit Engagements" measure="1" displayFolder="" measureGroup="Data" count="0"/>
    <cacheHierarchy uniqueName="[Measures].[Fraud Cases]" caption="Fraud Cases" measure="1" displayFolder="" measureGroup="Data" count="0"/>
    <cacheHierarchy uniqueName="[Measures].[Employee Workload]" caption="Employee Workload" measure="1" displayFolder="" measureGroup="Data" count="0"/>
    <cacheHierarchy uniqueName="[Measures].[AES]" caption="AES" measure="1" displayFolder="" measureGroup="Data" count="0"/>
    <cacheHierarchy uniqueName="[Measures].[CSS]" caption="CSS" measure="1" displayFolder="" measureGroup="Data" count="0"/>
    <cacheHierarchy uniqueName="[Measures].[CBR]" caption="CBR" measure="1" displayFolder="" measureGroup="Data" count="0"/>
    <cacheHierarchy uniqueName="[Measures].[WER]" caption="WER" measure="1" displayFolder="" measureGroup="Data" count="0"/>
    <cacheHierarchy uniqueName="[Measures].[Revenue Impact]" caption="Revenue Impact" measure="1" displayFolder="" measureGroup="Data" count="0"/>
    <cacheHierarchy uniqueName="[Measures].[Avg Employee Workload]" caption="Avg Employee Workload" measure="1" displayFolder="" measureGroup="Data" count="0"/>
    <cacheHierarchy uniqueName="[Measures].[Audit Effectiveness Score]" caption="Audit Effectiveness Score" measure="1" displayFolder="" measureGroup="Data" count="0"/>
    <cacheHierarchy uniqueName="[Measures].[Client Satisfaction Score]" caption="Client Satisfaction Score" measure="1" displayFolder="" measureGroup="Data" count="0"/>
    <cacheHierarchy uniqueName="[Measures].[Compliance Breach Rate]" caption="Compliance Breach Rate" measure="1" displayFolder="" measureGroup="Data" count="0"/>
    <cacheHierarchy uniqueName="[Measures].[Work Efficiency Ratio]" caption="Work Efficiency Ratio" measure="1" displayFolder="" measureGroup="Data" count="0"/>
    <cacheHierarchy uniqueName="[Measures].[__XL_Count Data]" caption="__XL_Count Data" measure="1" displayFolder="" measureGroup="Dat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name="PivotTable10" cacheId="2" applyNumberFormats="0" applyBorderFormats="0" applyFontFormats="0" applyPatternFormats="0" applyAlignmentFormats="0" applyWidthHeightFormats="1" dataCaption="Values" tag="5211086d-c88e-44f2-90b4-761af4bd578c" updatedVersion="6" minRefreshableVersion="3" useAutoFormatting="1" subtotalHiddenItems="1" itemPrintTitles="1" createdVersion="5" indent="0" outline="1" outlineData="1" multipleFieldFilters="0">
  <location ref="D38:I39" firstHeaderRow="0" firstDataRow="1" firstDataCol="0"/>
  <pivotFields count="7">
    <pivotField dataField="1" showAll="0"/>
    <pivotField dataField="1" showAll="0"/>
    <pivotField dataField="1" showAll="0"/>
    <pivotField dataField="1" showAll="0"/>
    <pivotField dataField="1" showAll="0"/>
    <pivotField dataField="1" showAll="0"/>
    <pivotField allDrilled="1"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1" numFmtId="2"/>
    <dataField fld="1" subtotal="count" baseField="0" baseItem="0"/>
    <dataField fld="2" subtotal="count" baseField="0" baseItem="2" numFmtId="2"/>
    <dataField fld="3" subtotal="count" baseField="0" baseItem="0"/>
    <dataField fld="4" subtotal="count" baseField="0" baseItem="0"/>
    <dataField fld="5" subtotal="count" baseField="0" baseItem="0"/>
  </dataField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2.xml><?xml version="1.0" encoding="utf-8"?>
<pivotTableDefinition xmlns="http://schemas.openxmlformats.org/spreadsheetml/2006/main" name="PivotTable3" cacheId="9" applyNumberFormats="0" applyBorderFormats="0" applyFontFormats="0" applyPatternFormats="0" applyAlignmentFormats="0" applyWidthHeightFormats="1" dataCaption="Values" tag="bee1e147-7afb-48ca-a43b-17e3aaff4be0" updatedVersion="6" minRefreshableVersion="3" useAutoFormatting="1" rowGrandTotals="0" colGrandTotals="0" itemPrintTitles="1" createdVersion="5" indent="0" outline="1" outlineData="1" multipleFieldFilters="0" chartFormat="4">
  <location ref="D42:E46"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fld="1" subtotal="count" baseField="0" baseItem="0"/>
  </dataFields>
  <chartFormats count="2">
    <chartFormat chart="1" format="1"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ompliance_Breach_Rat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3.xml><?xml version="1.0" encoding="utf-8"?>
<pivotTableDefinition xmlns="http://schemas.openxmlformats.org/spreadsheetml/2006/main" name="PivotTable6" cacheId="5" applyNumberFormats="0" applyBorderFormats="0" applyFontFormats="0" applyPatternFormats="0" applyAlignmentFormats="0" applyWidthHeightFormats="1" dataCaption="Values" tag="c09df52a-b5ce-450c-988f-8f6f71a4165e" updatedVersion="6" minRefreshableVersion="3" useAutoFormatting="1" subtotalHiddenItems="1" rowGrandTotals="0" colGrandTotals="0" itemPrintTitles="1" createdVersion="5" indent="0" outline="1" outlineData="1" multipleFieldFilters="0" chartFormat="1">
  <location ref="A19:B25" firstHeaderRow="1" firstDataRow="1" firstDataCol="1"/>
  <pivotFields count="3">
    <pivotField axis="axisRow" allDrilled="1" showAll="0" dataSourceSort="1" defaultAttributeDrillState="1">
      <items count="7">
        <item x="0"/>
        <item x="1"/>
        <item x="2"/>
        <item x="3"/>
        <item x="4"/>
        <item x="5"/>
        <item t="default"/>
      </items>
    </pivotField>
    <pivotField dataField="1" showAll="0"/>
    <pivotField allDrilled="1" showAll="0" dataSourceSort="1" defaultAttributeDrillState="1"/>
  </pivotFields>
  <rowFields count="1">
    <field x="0"/>
  </rowFields>
  <rowItems count="6">
    <i>
      <x/>
    </i>
    <i>
      <x v="1"/>
    </i>
    <i>
      <x v="2"/>
    </i>
    <i>
      <x v="3"/>
    </i>
    <i>
      <x v="4"/>
    </i>
    <i>
      <x v="5"/>
    </i>
  </rowItems>
  <colItems count="1">
    <i/>
  </colItems>
  <dataFields count="1">
    <dataField name="Average of Audit_Effectiveness_Score" fld="1" subtotal="average" baseField="0" baseItem="0" numFmtId="2"/>
  </dataFields>
  <chartFormats count="1">
    <chartFormat chart="0" format="1"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Audit_Effectiveness_Score"/>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4.xml><?xml version="1.0" encoding="utf-8"?>
<pivotTableDefinition xmlns="http://schemas.openxmlformats.org/spreadsheetml/2006/main" name="PivotTable5" cacheId="4" applyNumberFormats="0" applyBorderFormats="0" applyFontFormats="0" applyPatternFormats="0" applyAlignmentFormats="0" applyWidthHeightFormats="1" dataCaption="Values" tag="5b0d48e9-2e97-48e2-ab7b-465d211e9dcc" updatedVersion="6" minRefreshableVersion="3" useAutoFormatting="1" subtotalHiddenItems="1" rowGrandTotals="0" colGrandTotals="0" itemPrintTitles="1" createdVersion="5" indent="0" outline="1" outlineData="1" multipleFieldFilters="0" chartFormat="3">
  <location ref="A11:B17" firstHeaderRow="1" firstDataRow="1" firstDataCol="1"/>
  <pivotFields count="3">
    <pivotField axis="axisRow" allDrilled="1" showAll="0" dataSourceSort="1" defaultAttributeDrillState="1">
      <items count="7">
        <item x="0"/>
        <item x="1"/>
        <item x="2"/>
        <item x="3"/>
        <item x="4"/>
        <item x="5"/>
        <item t="default"/>
      </items>
    </pivotField>
    <pivotField dataField="1" showAll="0"/>
    <pivotField allDrilled="1" showAll="0" dataSourceSort="1" defaultAttributeDrillState="1"/>
  </pivotFields>
  <rowFields count="1">
    <field x="0"/>
  </rowFields>
  <rowItems count="6">
    <i>
      <x/>
    </i>
    <i>
      <x v="1"/>
    </i>
    <i>
      <x v="2"/>
    </i>
    <i>
      <x v="3"/>
    </i>
    <i>
      <x v="4"/>
    </i>
    <i>
      <x v="5"/>
    </i>
  </rowItems>
  <colItems count="1">
    <i/>
  </colItems>
  <dataFields count="1">
    <dataField name="Average of Client_Satisfaction_Score" fld="1" subtotal="average" baseField="0" baseItem="0" numFmtId="2"/>
  </dataFields>
  <chartFormats count="1">
    <chartFormat chart="0" format="1"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caption="Average of Client_Satisfaction_Score"/>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5.xml><?xml version="1.0" encoding="utf-8"?>
<pivotTableDefinition xmlns="http://schemas.openxmlformats.org/spreadsheetml/2006/main" name="PivotTable1" cacheId="1" applyNumberFormats="0" applyBorderFormats="0" applyFontFormats="0" applyPatternFormats="0" applyAlignmentFormats="0" applyWidthHeightFormats="1" dataCaption="Values" tag="6720a68e-8bea-40e2-af62-fb85de8e61c5" updatedVersion="6" minRefreshableVersion="3" useAutoFormatting="1" subtotalHiddenItems="1" rowGrandTotals="0" colGrandTotals="0" itemPrintTitles="1" createdVersion="5" indent="0" outline="1" outlineData="1" multipleFieldFilters="0" chartFormat="3">
  <location ref="A1:B3" firstHeaderRow="1" firstDataRow="1" firstDataCol="1"/>
  <pivotFields count="2">
    <pivotField dataField="1" showAll="0"/>
    <pivotField axis="axisRow" allDrilled="1" showAll="0" dataSourceSort="1" defaultAttributeDrillState="1">
      <items count="3">
        <item x="0"/>
        <item x="1"/>
        <item t="default"/>
      </items>
    </pivotField>
  </pivotFields>
  <rowFields count="1">
    <field x="1"/>
  </rowFields>
  <rowItems count="2">
    <i>
      <x/>
    </i>
    <i>
      <x v="1"/>
    </i>
  </rowItems>
  <colItems count="1">
    <i/>
  </colItems>
  <dataFields count="1">
    <dataField name="Count of AI_Used_for_Auditing" fld="0" subtotal="count" baseField="0" baseItem="0"/>
  </dataFields>
  <chartFormats count="5">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1" count="1" selected="0">
            <x v="0"/>
          </reference>
        </references>
      </pivotArea>
    </chartFormat>
    <chartFormat chart="2" format="14">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6.xml><?xml version="1.0" encoding="utf-8"?>
<pivotTableDefinition xmlns="http://schemas.openxmlformats.org/spreadsheetml/2006/main" name="PivotTable4" cacheId="3" applyNumberFormats="0" applyBorderFormats="0" applyFontFormats="0" applyPatternFormats="0" applyAlignmentFormats="0" applyWidthHeightFormats="1" dataCaption="Values" tag="d0f02ceb-678a-47cc-8cdf-1259b06387aa" updatedVersion="6" minRefreshableVersion="3" useAutoFormatting="1" subtotalHiddenItems="1" rowGrandTotals="0" colGrandTotals="0" itemPrintTitles="1" createdVersion="5" indent="0" outline="1" outlineData="1" multipleFieldFilters="0" chartFormat="3">
  <location ref="A5:B9" firstHeaderRow="1" firstDataRow="1" firstDataCol="1"/>
  <pivotFields count="3">
    <pivotField dataField="1" showAll="0"/>
    <pivotField axis="axisRow" allDrilled="1" showAll="0" dataSourceSort="1" defaultAttributeDrillState="1">
      <items count="5">
        <item x="0"/>
        <item x="1"/>
        <item x="2"/>
        <item x="3"/>
        <item t="default"/>
      </items>
    </pivotField>
    <pivotField allDrilled="1" showAll="0" dataSourceSort="1" defaultAttributeDrillState="1"/>
  </pivotFields>
  <rowFields count="1">
    <field x="1"/>
  </rowFields>
  <rowItems count="4">
    <i>
      <x/>
    </i>
    <i>
      <x v="1"/>
    </i>
    <i>
      <x v="2"/>
    </i>
    <i>
      <x v="3"/>
    </i>
  </rowItems>
  <colItems count="1">
    <i/>
  </colItems>
  <dataFields count="1">
    <dataField name="Sum of Compliance_Violations" fld="0" baseField="0" baseItem="0"/>
  </dataFields>
  <chartFormats count="2">
    <chartFormat chart="0" format="1"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7.xml><?xml version="1.0" encoding="utf-8"?>
<pivotTableDefinition xmlns="http://schemas.openxmlformats.org/spreadsheetml/2006/main" name="PivotTable7" cacheId="6" applyNumberFormats="0" applyBorderFormats="0" applyFontFormats="0" applyPatternFormats="0" applyAlignmentFormats="0" applyWidthHeightFormats="1" dataCaption="Values" tag="cb24431d-6880-4ab1-8eff-24f430d84197" updatedVersion="6" minRefreshableVersion="3" useAutoFormatting="1" subtotalHiddenItems="1" rowGrandTotals="0" colGrandTotals="0" itemPrintTitles="1" createdVersion="5" indent="0" outline="1" outlineData="1" multipleFieldFilters="0" chartFormat="3">
  <location ref="A27:B67" firstHeaderRow="1" firstDataRow="1" firstDataCol="1"/>
  <pivotFields count="3">
    <pivotField dataField="1" showAll="0"/>
    <pivotField axis="axisRow" allDrilled="1" showAll="0" dataSourceSort="1"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t="default"/>
      </items>
    </pivotField>
    <pivotField allDrilled="1" showAll="0" dataSourceSort="1" defaultAttributeDrillState="1"/>
  </pivotFields>
  <rowFields count="1">
    <field x="1"/>
  </rowFields>
  <rowItems count="4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rowItems>
  <colItems count="1">
    <i/>
  </colItems>
  <dataFields count="1">
    <dataField name="Average of Compliance_Breach_Rate" fld="0" subtotal="average" baseField="0" baseItem="1907351728" numFmtId="10"/>
  </dataFields>
  <chartFormats count="1">
    <chartFormat chart="0" format="1"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ompliance_Breach_Rate"/>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8.xml><?xml version="1.0" encoding="utf-8"?>
<pivotTableDefinition xmlns="http://schemas.openxmlformats.org/spreadsheetml/2006/main" name="PivotTable8" cacheId="7" applyNumberFormats="0" applyBorderFormats="0" applyFontFormats="0" applyPatternFormats="0" applyAlignmentFormats="0" applyWidthHeightFormats="1" dataCaption="Values" tag="b55831d1-cbef-495b-aca1-020b14bbe48a" updatedVersion="6" minRefreshableVersion="3" useAutoFormatting="1" subtotalHiddenItems="1" rowGrandTotals="0" colGrandTotals="0" itemPrintTitles="1" createdVersion="5" indent="0" outline="1" outlineData="1" multipleFieldFilters="0" chartFormat="3">
  <location ref="A70:B74" firstHeaderRow="1" firstDataRow="1" firstDataCol="1"/>
  <pivotFields count="3">
    <pivotField dataField="1" showAll="0"/>
    <pivotField axis="axisRow" allDrilled="1" showAll="0" dataSourceSort="1" defaultAttributeDrillState="1">
      <items count="5">
        <item x="0"/>
        <item x="1"/>
        <item x="2"/>
        <item x="3"/>
        <item t="default"/>
      </items>
    </pivotField>
    <pivotField allDrilled="1" showAll="0" dataSourceSort="1" defaultAttributeDrillState="1"/>
  </pivotFields>
  <rowFields count="1">
    <field x="1"/>
  </rowFields>
  <rowItems count="4">
    <i>
      <x/>
    </i>
    <i>
      <x v="1"/>
    </i>
    <i>
      <x v="2"/>
    </i>
    <i>
      <x v="3"/>
    </i>
  </rowItems>
  <colItems count="1">
    <i/>
  </colItems>
  <dataFields count="1">
    <dataField name="Sum of Total_Revenue_Impact" fld="0" baseField="1" baseItem="0" numFmtId="167"/>
  </dataFields>
  <chartFormats count="2">
    <chartFormat chart="0" format="1"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9.xml><?xml version="1.0" encoding="utf-8"?>
<pivotTableDefinition xmlns="http://schemas.openxmlformats.org/spreadsheetml/2006/main" name="PivotTable9" cacheId="0" applyNumberFormats="0" applyBorderFormats="0" applyFontFormats="0" applyPatternFormats="0" applyAlignmentFormats="0" applyWidthHeightFormats="1" dataCaption="Values" tag="49dcad21-5f54-49e7-8956-2037448f73a2" updatedVersion="6" minRefreshableVersion="3" useAutoFormatting="1" subtotalHiddenItems="1" rowGrandTotals="0" colGrandTotals="0" itemPrintTitles="1" createdVersion="5" indent="0" outline="1" outlineData="1" multipleFieldFilters="0" chartFormat="3">
  <location ref="D30:E34" firstHeaderRow="1" firstDataRow="1" firstDataCol="1"/>
  <pivotFields count="3">
    <pivotField dataField="1" showAll="0"/>
    <pivotField axis="axisRow" allDrilled="1" showAll="0" dataSourceSort="1" defaultAttributeDrillState="1">
      <items count="5">
        <item x="0"/>
        <item x="1"/>
        <item x="2"/>
        <item x="3"/>
        <item t="default"/>
      </items>
    </pivotField>
    <pivotField allDrilled="1" showAll="0" dataSourceSort="1" defaultAttributeDrillState="1"/>
  </pivotFields>
  <rowFields count="1">
    <field x="1"/>
  </rowFields>
  <rowItems count="4">
    <i>
      <x/>
    </i>
    <i>
      <x v="1"/>
    </i>
    <i>
      <x v="2"/>
    </i>
    <i>
      <x v="3"/>
    </i>
  </rowItems>
  <colItems count="1">
    <i/>
  </colItems>
  <dataFields count="1">
    <dataField name="Average of Work_Efficiency_Ratio" fld="0" subtotal="average" baseField="0" baseItem="0" numFmtId="2"/>
  </dataFields>
  <chartFormats count="10">
    <chartFormat chart="0" format="1"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1" count="1" selected="0">
            <x v="0"/>
          </reference>
        </references>
      </pivotArea>
    </chartFormat>
    <chartFormat chart="2" format="14">
      <pivotArea type="data" outline="0" fieldPosition="0">
        <references count="2">
          <reference field="4294967294" count="1" selected="0">
            <x v="0"/>
          </reference>
          <reference field="1" count="1" selected="0">
            <x v="1"/>
          </reference>
        </references>
      </pivotArea>
    </chartFormat>
    <chartFormat chart="2" format="15">
      <pivotArea type="data" outline="0" fieldPosition="0">
        <references count="2">
          <reference field="4294967294" count="1" selected="0">
            <x v="0"/>
          </reference>
          <reference field="1" count="1" selected="0">
            <x v="2"/>
          </reference>
        </references>
      </pivotArea>
    </chartFormat>
    <chartFormat chart="2" format="16">
      <pivotArea type="data" outline="0" fieldPosition="0">
        <references count="2">
          <reference field="4294967294" count="1" selected="0">
            <x v="0"/>
          </reference>
          <reference field="1" count="1" selected="0">
            <x v="3"/>
          </reference>
        </references>
      </pivotArea>
    </chartFormat>
    <chartFormat chart="0" format="5">
      <pivotArea type="data" outline="0" fieldPosition="0">
        <references count="2">
          <reference field="4294967294" count="1" selected="0">
            <x v="0"/>
          </reference>
          <reference field="1" count="1" selected="0">
            <x v="0"/>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2"/>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Work_Efficiency_Ratio"/>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pivotTables/pivotTable10.xml><?xml version="1.0" encoding="utf-8"?>
<pivotTableDefinition xmlns="http://schemas.openxmlformats.org/spreadsheetml/2006/main" name="PivotTable11" cacheId="8" applyNumberFormats="0" applyBorderFormats="0" applyFontFormats="0" applyPatternFormats="0" applyAlignmentFormats="0" applyWidthHeightFormats="1" dataCaption="Values" tag="1e2f734f-3e7c-4022-ab55-8f9db1232c41" updatedVersion="6" minRefreshableVersion="3" useAutoFormatting="1" subtotalHiddenItems="1" rowGrandTotals="0" colGrandTotals="0" itemPrintTitles="1" createdVersion="5" indent="0" outline="1" outlineData="1" multipleFieldFilters="0" chartFormat="3">
  <location ref="D51:E55"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fld="1" subtotal="count" baseField="0" baseItem="0"/>
  </dataFields>
  <chartFormats count="3">
    <chartFormat chart="0" format="1"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Hierarchies count="42">
    <pivotHierarchy multipleItemSelectionAllowed="1"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Industry_Affected1" sourceName="[Data].[Industry_Affected]">
  <pivotTables>
    <pivotTable tabId="6" name="PivotTable9"/>
    <pivotTable tabId="6" name="PivotTable1"/>
    <pivotTable tabId="6" name="PivotTable4"/>
    <pivotTable tabId="6" name="PivotTable5"/>
    <pivotTable tabId="6" name="PivotTable6"/>
    <pivotTable tabId="6" name="PivotTable7"/>
    <pivotTable tabId="6" name="PivotTable8"/>
    <pivotTable tabId="6" name="PivotTable10"/>
    <pivotTable tabId="6" name="PivotTable11"/>
    <pivotTable tabId="6" name="PivotTable3"/>
  </pivotTables>
  <data>
    <olap pivotCacheId="11">
      <levels count="2">
        <level uniqueName="[Data].[Industry_Affected].[(All)]" sourceCaption="(All)" count="0"/>
        <level uniqueName="[Data].[Industry_Affected].[Industry_Affected]" sourceCaption="Industry_Affected" count="4">
          <ranges>
            <range startItem="0">
              <i n="[Data].[Industry_Affected].&amp;[Finance]" c="Finance"/>
              <i n="[Data].[Industry_Affected].&amp;[Healthcare]" c="Healthcare"/>
              <i n="[Data].[Industry_Affected].&amp;[Retail]" c="Retail"/>
              <i n="[Data].[Industry_Affected].&amp;[Tech]" c="Tech"/>
            </range>
          </ranges>
        </level>
      </levels>
      <selections count="1">
        <selection n="[Data].[Industry_Affected].[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I_Used_for_Auditing" sourceName="[Data].[AI_Used_for_Auditing]">
  <pivotTables>
    <pivotTable tabId="6" name="PivotTable9"/>
    <pivotTable tabId="6" name="PivotTable1"/>
    <pivotTable tabId="6" name="PivotTable10"/>
    <pivotTable tabId="6" name="PivotTable4"/>
    <pivotTable tabId="6" name="PivotTable5"/>
    <pivotTable tabId="6" name="PivotTable6"/>
    <pivotTable tabId="6" name="PivotTable7"/>
    <pivotTable tabId="6" name="PivotTable8"/>
    <pivotTable tabId="6" name="PivotTable11"/>
    <pivotTable tabId="6" name="PivotTable3"/>
  </pivotTables>
  <data>
    <olap pivotCacheId="11">
      <levels count="2">
        <level uniqueName="[Data].[AI_Used_for_Auditing].[(All)]" sourceCaption="(All)" count="0"/>
        <level uniqueName="[Data].[AI_Used_for_Auditing].[AI_Used_for_Auditing]" sourceCaption="AI_Used_for_Auditing" count="2">
          <ranges>
            <range startItem="0">
              <i n="[Data].[AI_Used_for_Auditing].&amp;[No]" c="No"/>
              <i n="[Data].[AI_Used_for_Auditing].&amp;[Yes]" c="Yes"/>
            </range>
          </ranges>
        </level>
      </levels>
      <selections count="1">
        <selection n="[Data].[AI_Used_for_Auditing].[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orkload_Category" sourceName="[Data].[Workload_Category]">
  <pivotTables>
    <pivotTable tabId="6" name="PivotTable7"/>
    <pivotTable tabId="6" name="PivotTable1"/>
    <pivotTable tabId="6" name="PivotTable10"/>
    <pivotTable tabId="6" name="PivotTable4"/>
    <pivotTable tabId="6" name="PivotTable5"/>
    <pivotTable tabId="6" name="PivotTable6"/>
    <pivotTable tabId="6" name="PivotTable8"/>
    <pivotTable tabId="6" name="PivotTable9"/>
    <pivotTable tabId="6" name="PivotTable11"/>
    <pivotTable tabId="6" name="PivotTable3"/>
  </pivotTables>
  <data>
    <olap pivotCacheId="11">
      <levels count="2">
        <level uniqueName="[Data].[Workload_Category].[(All)]" sourceCaption="(All)" count="0"/>
        <level uniqueName="[Data].[Workload_Category].[Workload_Category]" sourceCaption="Workload_Category" count="3">
          <ranges>
            <range startItem="0">
              <i n="[Data].[Workload_Category].&amp;[High]" c="High"/>
              <i n="[Data].[Workload_Category].&amp;[Low]" c="Low"/>
              <i n="[Data].[Workload_Category].&amp;[Medium]" c="Medium"/>
            </range>
          </ranges>
        </level>
      </levels>
      <selections count="1">
        <selection n="[Data].[Workload_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Year" sourceName="[Data].[Year]">
  <pivotTables>
    <pivotTable tabId="6" name="PivotTable5"/>
    <pivotTable tabId="6" name="PivotTable1"/>
    <pivotTable tabId="6" name="PivotTable10"/>
    <pivotTable tabId="6" name="PivotTable4"/>
    <pivotTable tabId="6" name="PivotTable6"/>
    <pivotTable tabId="6" name="PivotTable7"/>
    <pivotTable tabId="6" name="PivotTable8"/>
    <pivotTable tabId="6" name="PivotTable9"/>
    <pivotTable tabId="6" name="PivotTable11"/>
    <pivotTable tabId="6" name="PivotTable3"/>
  </pivotTables>
  <data>
    <olap pivotCacheId="11">
      <levels count="2">
        <level uniqueName="[Data].[Year].[(All)]" sourceCaption="(All)" count="0"/>
        <level uniqueName="[Data].[Year].[Year]" sourceCaption="Year" count="6">
          <ranges>
            <range startItem="0">
              <i n="[Data].[Year].&amp;[2020]" c="2020"/>
              <i n="[Data].[Year].&amp;[2021]" c="2021"/>
              <i n="[Data].[Year].&amp;[2022]" c="2022"/>
              <i n="[Data].[Year].&amp;[2023]" c="2023"/>
              <i n="[Data].[Year].&amp;[2024]" c="2024"/>
              <i n="[Data].[Year].&amp;[2025]" c="2025"/>
            </range>
          </ranges>
        </level>
      </levels>
      <selections count="1">
        <selection n="[Data].[Yea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irm_Name" sourceName="[Data].[Firm_Name]">
  <pivotTables>
    <pivotTable tabId="6" name="PivotTable1"/>
    <pivotTable tabId="6" name="PivotTable10"/>
    <pivotTable tabId="6" name="PivotTable4"/>
    <pivotTable tabId="6" name="PivotTable5"/>
    <pivotTable tabId="6" name="PivotTable6"/>
    <pivotTable tabId="6" name="PivotTable7"/>
    <pivotTable tabId="6" name="PivotTable8"/>
    <pivotTable tabId="6" name="PivotTable9"/>
    <pivotTable tabId="6" name="PivotTable11"/>
    <pivotTable tabId="6" name="PivotTable3"/>
  </pivotTables>
  <data>
    <olap pivotCacheId="11">
      <levels count="2">
        <level uniqueName="[Data].[Firm_Name].[(All)]" sourceCaption="(All)" count="0"/>
        <level uniqueName="[Data].[Firm_Name].[Firm_Name]" sourceCaption="Firm_Name" count="4">
          <ranges>
            <range startItem="0">
              <i n="[Data].[Firm_Name].&amp;[Deloitte]" c="Deloitte"/>
              <i n="[Data].[Firm_Name].&amp;[Ernst &amp; Young]" c="Ernst &amp; Young"/>
              <i n="[Data].[Firm_Name].&amp;[KPMG]" c="KPMG"/>
              <i n="[Data].[Firm_Name].&amp;[PwC]" c="PwC"/>
            </range>
          </ranges>
        </level>
      </levels>
      <selections count="1">
        <selection n="[Data].[Firm_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ndustry_Affected 1" cache="Slicer_Industry_Affected1" caption="Industry" columnCount="2" level="1" style="SlicerStyleDark5" rowHeight="241300"/>
  <slicer name="AI_Used_for_Auditing 1" cache="Slicer_AI_Used_for_Auditing" caption="AI Usage" columnCount="2" level="1" style="SlicerStyleDark5" rowHeight="241300"/>
  <slicer name="Workload_Category 1" cache="Slicer_Workload_Category" caption="Workload Category" columnCount="3" level="1" style="SlicerStyleDark5" rowHeight="241300"/>
  <slicer name="Year 1" cache="Slicer_Year" caption="Year" columnCount="2" level="1" style="SlicerStyleDark5" rowHeight="241300"/>
  <slicer name="Firm_Name 1" cache="Slicer_Firm_Name" caption="Firm" columnCount="2" level="1" style="SlicerStyleDark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Industry_Affected" cache="Slicer_Industry_Affected1" caption="Industry" level="1" rowHeight="241300"/>
  <slicer name="AI_Used_for_Auditing" cache="Slicer_AI_Used_for_Auditing" caption="AI Usage" level="1" rowHeight="241300"/>
  <slicer name="Workload_Category" cache="Slicer_Workload_Category" caption="Workload Category" level="1" rowHeight="241300"/>
  <slicer name="Year" cache="Slicer_Year" caption="Year" columnCount="2" level="1" rowHeight="241300"/>
  <slicer name="Firm_Name" cache="Slicer_Firm_Name" caption="Firm" columnCount="2" level="1" rowHeight="241300"/>
</slicers>
</file>

<file path=xl/tables/table1.xml><?xml version="1.0" encoding="utf-8"?>
<table xmlns="http://schemas.openxmlformats.org/spreadsheetml/2006/main" id="1" name="ColumnDescription" displayName="ColumnDescription" ref="A1:C16" totalsRowShown="0" headerRowDxfId="21" dataDxfId="20">
  <autoFilter ref="A1:C16"/>
  <tableColumns count="3">
    <tableColumn id="1" name="Index" dataDxfId="19"/>
    <tableColumn id="2" name="Column Name" dataDxfId="18"/>
    <tableColumn id="3" name="Description" dataDxfId="17"/>
  </tableColumns>
  <tableStyleInfo name="TableStyleLight13" showFirstColumn="0" showLastColumn="0" showRowStripes="1" showColumnStripes="0"/>
</table>
</file>

<file path=xl/tables/table2.xml><?xml version="1.0" encoding="utf-8"?>
<table xmlns="http://schemas.openxmlformats.org/spreadsheetml/2006/main" id="2" name="Data" displayName="Data" ref="A1:O101" totalsRowShown="0" headerRowDxfId="16" dataDxfId="15">
  <autoFilter ref="A1:O101"/>
  <tableColumns count="15">
    <tableColumn id="1" name="Year" dataDxfId="14"/>
    <tableColumn id="2" name="Firm_Name" dataDxfId="13"/>
    <tableColumn id="3" name="Industry_Affected" dataDxfId="12"/>
    <tableColumn id="4" name="AI_Used_for_Auditing" dataDxfId="11"/>
    <tableColumn id="5" name="Total_Audit_Engagements" dataDxfId="10"/>
    <tableColumn id="6" name="High_Risk_Cases" dataDxfId="9"/>
    <tableColumn id="7" name="Compliance_Violations" dataDxfId="8"/>
    <tableColumn id="15" name="Compliance_Breach_Rate" dataDxfId="7" dataCellStyle="Percent">
      <calculatedColumnFormula>Data[[#This Row],[Compliance_Violations]]/Data[[#This Row],[Total_Audit_Engagements]]</calculatedColumnFormula>
    </tableColumn>
    <tableColumn id="8" name="Fraud_Cases_Detected" dataDxfId="6"/>
    <tableColumn id="9" name="Employee_Workload" dataDxfId="5"/>
    <tableColumn id="16" name="Work_Efficiency_Ratio" dataDxfId="4">
      <calculatedColumnFormula>Data[[#This Row],[Fraud_Cases_Detected]]/Data[[#This Row],[Employee_Workload]]</calculatedColumnFormula>
    </tableColumn>
    <tableColumn id="14" name="Workload_Category" dataDxfId="3">
      <calculatedColumnFormula>IF(Data[[#This Row],[Employee_Workload]]&lt;=45, "Low", IF(Data[[#This Row],[Employee_Workload]]&lt;=65, "Medium", "High"))</calculatedColumnFormula>
    </tableColumn>
    <tableColumn id="10" name="Audit_Effectiveness_Score" dataDxfId="2"/>
    <tableColumn id="11" name="Client_Satisfaction_Score" dataDxfId="1"/>
    <tableColumn id="12" name="Total_Revenue_Impact" dataDxfId="0" dataCellStyle="Currency"/>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
  <sheetViews>
    <sheetView showGridLines="0" showRowColHeaders="0" tabSelected="1" zoomScaleNormal="100" workbookViewId="0"/>
  </sheetViews>
  <sheetFormatPr defaultRowHeight="15" x14ac:dyDescent="0.25"/>
  <cols>
    <col min="1" max="16384" width="9.140625" style="14"/>
  </cols>
  <sheetData/>
  <pageMargins left="0.7" right="0.7" top="0.75" bottom="0.75" header="0.3" footer="0.3"/>
  <pageSetup paperSize="9" scale="68"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4"/>
  <sheetViews>
    <sheetView topLeftCell="A13" zoomScale="85" zoomScaleNormal="85" workbookViewId="0">
      <selection activeCell="E62" sqref="E62"/>
    </sheetView>
  </sheetViews>
  <sheetFormatPr defaultRowHeight="15" x14ac:dyDescent="0.25"/>
  <cols>
    <col min="1" max="1" width="13.28515625" bestFit="1" customWidth="1"/>
    <col min="2" max="2" width="28.42578125" customWidth="1"/>
    <col min="3" max="3" width="17.7109375" customWidth="1"/>
    <col min="4" max="4" width="13.28515625" customWidth="1"/>
    <col min="5" max="5" width="6.140625" customWidth="1"/>
    <col min="6" max="6" width="23.85546875" bestFit="1" customWidth="1"/>
    <col min="7" max="8" width="22.7109375" bestFit="1" customWidth="1"/>
    <col min="9" max="9" width="20.140625" bestFit="1" customWidth="1"/>
  </cols>
  <sheetData>
    <row r="1" spans="1:2" x14ac:dyDescent="0.25">
      <c r="A1" s="4" t="s">
        <v>34</v>
      </c>
      <c r="B1" t="s">
        <v>35</v>
      </c>
    </row>
    <row r="2" spans="1:2" x14ac:dyDescent="0.25">
      <c r="A2" s="5" t="s">
        <v>26</v>
      </c>
      <c r="B2" s="6">
        <v>55</v>
      </c>
    </row>
    <row r="3" spans="1:2" x14ac:dyDescent="0.25">
      <c r="A3" s="5" t="s">
        <v>28</v>
      </c>
      <c r="B3" s="6">
        <v>45</v>
      </c>
    </row>
    <row r="5" spans="1:2" x14ac:dyDescent="0.25">
      <c r="A5" s="4" t="s">
        <v>34</v>
      </c>
      <c r="B5" t="s">
        <v>36</v>
      </c>
    </row>
    <row r="6" spans="1:2" x14ac:dyDescent="0.25">
      <c r="A6" s="5" t="s">
        <v>29</v>
      </c>
      <c r="B6" s="6">
        <v>1669</v>
      </c>
    </row>
    <row r="7" spans="1:2" x14ac:dyDescent="0.25">
      <c r="A7" s="5" t="s">
        <v>25</v>
      </c>
      <c r="B7" s="6">
        <v>2665</v>
      </c>
    </row>
    <row r="8" spans="1:2" x14ac:dyDescent="0.25">
      <c r="A8" s="5" t="s">
        <v>30</v>
      </c>
      <c r="B8" s="6">
        <v>3226</v>
      </c>
    </row>
    <row r="9" spans="1:2" x14ac:dyDescent="0.25">
      <c r="A9" s="5" t="s">
        <v>31</v>
      </c>
      <c r="B9" s="6">
        <v>2988</v>
      </c>
    </row>
    <row r="11" spans="1:2" x14ac:dyDescent="0.25">
      <c r="A11" s="4" t="s">
        <v>34</v>
      </c>
      <c r="B11" t="s">
        <v>42</v>
      </c>
    </row>
    <row r="12" spans="1:2" x14ac:dyDescent="0.25">
      <c r="A12" s="5">
        <v>2020</v>
      </c>
      <c r="B12" s="10">
        <v>7.6476190476190471</v>
      </c>
    </row>
    <row r="13" spans="1:2" x14ac:dyDescent="0.25">
      <c r="A13" s="5">
        <v>2021</v>
      </c>
      <c r="B13" s="10">
        <v>7.2684210526315782</v>
      </c>
    </row>
    <row r="14" spans="1:2" x14ac:dyDescent="0.25">
      <c r="A14" s="5">
        <v>2022</v>
      </c>
      <c r="B14" s="10">
        <v>6.7666666666666666</v>
      </c>
    </row>
    <row r="15" spans="1:2" x14ac:dyDescent="0.25">
      <c r="A15" s="5">
        <v>2023</v>
      </c>
      <c r="B15" s="10">
        <v>7.4230769230769234</v>
      </c>
    </row>
    <row r="16" spans="1:2" x14ac:dyDescent="0.25">
      <c r="A16" s="5">
        <v>2024</v>
      </c>
      <c r="B16" s="10">
        <v>7.3875000000000002</v>
      </c>
    </row>
    <row r="17" spans="1:5" x14ac:dyDescent="0.25">
      <c r="A17" s="5">
        <v>2025</v>
      </c>
      <c r="B17" s="10">
        <v>7.4375</v>
      </c>
    </row>
    <row r="19" spans="1:5" x14ac:dyDescent="0.25">
      <c r="A19" s="4" t="s">
        <v>34</v>
      </c>
      <c r="B19" t="s">
        <v>43</v>
      </c>
    </row>
    <row r="20" spans="1:5" x14ac:dyDescent="0.25">
      <c r="A20" s="5">
        <v>2020</v>
      </c>
      <c r="B20" s="10">
        <v>7.5857142857142863</v>
      </c>
    </row>
    <row r="21" spans="1:5" x14ac:dyDescent="0.25">
      <c r="A21" s="5">
        <v>2021</v>
      </c>
      <c r="B21" s="10">
        <v>6.9210526315789478</v>
      </c>
    </row>
    <row r="22" spans="1:5" x14ac:dyDescent="0.25">
      <c r="A22" s="5">
        <v>2022</v>
      </c>
      <c r="B22" s="10">
        <v>7.5333333333333332</v>
      </c>
    </row>
    <row r="23" spans="1:5" x14ac:dyDescent="0.25">
      <c r="A23" s="5">
        <v>2023</v>
      </c>
      <c r="B23" s="10">
        <v>7.6769230769230763</v>
      </c>
    </row>
    <row r="24" spans="1:5" x14ac:dyDescent="0.25">
      <c r="A24" s="5">
        <v>2024</v>
      </c>
      <c r="B24" s="10">
        <v>7.7125000000000004</v>
      </c>
    </row>
    <row r="25" spans="1:5" x14ac:dyDescent="0.25">
      <c r="A25" s="5">
        <v>2025</v>
      </c>
      <c r="B25" s="10">
        <v>7.625</v>
      </c>
    </row>
    <row r="27" spans="1:5" x14ac:dyDescent="0.25">
      <c r="A27" s="4" t="s">
        <v>34</v>
      </c>
      <c r="B27" t="s">
        <v>40</v>
      </c>
    </row>
    <row r="28" spans="1:5" x14ac:dyDescent="0.25">
      <c r="A28" s="5">
        <v>40</v>
      </c>
      <c r="B28" s="9">
        <v>3.6926982338744252E-2</v>
      </c>
    </row>
    <row r="29" spans="1:5" x14ac:dyDescent="0.25">
      <c r="A29" s="5">
        <v>41</v>
      </c>
      <c r="B29" s="9">
        <v>4.3626614672191082E-2</v>
      </c>
    </row>
    <row r="30" spans="1:5" x14ac:dyDescent="0.25">
      <c r="A30" s="5">
        <v>42</v>
      </c>
      <c r="B30" s="9">
        <v>7.2203869749882021E-2</v>
      </c>
      <c r="D30" s="4" t="s">
        <v>34</v>
      </c>
      <c r="E30" t="s">
        <v>41</v>
      </c>
    </row>
    <row r="31" spans="1:5" x14ac:dyDescent="0.25">
      <c r="A31" s="5">
        <v>43</v>
      </c>
      <c r="B31" s="9">
        <v>1.0961968680089485E-2</v>
      </c>
      <c r="D31" s="5" t="s">
        <v>27</v>
      </c>
      <c r="E31" s="10">
        <v>0.81963353539844119</v>
      </c>
    </row>
    <row r="32" spans="1:5" x14ac:dyDescent="0.25">
      <c r="A32" s="5">
        <v>44</v>
      </c>
      <c r="B32" s="9">
        <v>5.2536640261103024E-2</v>
      </c>
      <c r="D32" s="5" t="s">
        <v>32</v>
      </c>
      <c r="E32" s="10">
        <v>0.7417170123680783</v>
      </c>
    </row>
    <row r="33" spans="1:9" x14ac:dyDescent="0.25">
      <c r="A33" s="5">
        <v>45</v>
      </c>
      <c r="B33" s="9">
        <v>3.4303082935301779E-2</v>
      </c>
      <c r="D33" s="5" t="s">
        <v>33</v>
      </c>
      <c r="E33" s="10">
        <v>1.0588042987808917</v>
      </c>
    </row>
    <row r="34" spans="1:9" x14ac:dyDescent="0.25">
      <c r="A34" s="5">
        <v>46</v>
      </c>
      <c r="B34" s="9">
        <v>3.0868223348750425E-2</v>
      </c>
      <c r="D34" s="5" t="s">
        <v>24</v>
      </c>
      <c r="E34" s="10">
        <v>1.0218435573772162</v>
      </c>
    </row>
    <row r="35" spans="1:9" x14ac:dyDescent="0.25">
      <c r="A35" s="5">
        <v>47</v>
      </c>
      <c r="B35" s="9">
        <v>1.1990407673860911E-2</v>
      </c>
    </row>
    <row r="36" spans="1:9" x14ac:dyDescent="0.25">
      <c r="A36" s="5">
        <v>48</v>
      </c>
      <c r="B36" s="9">
        <v>2.7591965580587519E-2</v>
      </c>
    </row>
    <row r="37" spans="1:9" x14ac:dyDescent="0.25">
      <c r="A37" s="5">
        <v>49</v>
      </c>
      <c r="B37" s="9">
        <v>4.8584411045089128E-2</v>
      </c>
    </row>
    <row r="38" spans="1:9" x14ac:dyDescent="0.25">
      <c r="A38" s="5">
        <v>50</v>
      </c>
      <c r="B38" s="9">
        <v>5.8468198408619221E-2</v>
      </c>
      <c r="D38" t="s">
        <v>46</v>
      </c>
      <c r="E38" t="s">
        <v>45</v>
      </c>
      <c r="F38" t="s">
        <v>47</v>
      </c>
      <c r="G38" t="s">
        <v>48</v>
      </c>
      <c r="H38" t="s">
        <v>49</v>
      </c>
      <c r="I38" t="s">
        <v>50</v>
      </c>
    </row>
    <row r="39" spans="1:9" x14ac:dyDescent="0.25">
      <c r="A39" s="5">
        <v>51</v>
      </c>
      <c r="B39" s="9">
        <v>3.6940298507462686E-2</v>
      </c>
      <c r="D39" s="10">
        <v>60.25</v>
      </c>
      <c r="E39" s="12">
        <v>27253900000</v>
      </c>
      <c r="F39" s="10">
        <v>7.49</v>
      </c>
      <c r="G39" s="10">
        <v>7.3389999999999995</v>
      </c>
      <c r="H39" s="11">
        <v>4.9491429988220641E-2</v>
      </c>
      <c r="I39" s="10">
        <v>0.90488280854029057</v>
      </c>
    </row>
    <row r="40" spans="1:9" x14ac:dyDescent="0.25">
      <c r="A40" s="5">
        <v>52</v>
      </c>
      <c r="B40" s="9">
        <v>1.9393954593618531E-2</v>
      </c>
    </row>
    <row r="41" spans="1:9" x14ac:dyDescent="0.25">
      <c r="A41" s="5">
        <v>53</v>
      </c>
      <c r="B41" s="9">
        <v>5.4383132010769872E-2</v>
      </c>
    </row>
    <row r="42" spans="1:9" x14ac:dyDescent="0.25">
      <c r="A42" s="5">
        <v>54</v>
      </c>
      <c r="B42" s="9">
        <v>6.9952717029753614E-2</v>
      </c>
      <c r="D42" s="4" t="s">
        <v>34</v>
      </c>
      <c r="E42" t="s">
        <v>59</v>
      </c>
    </row>
    <row r="43" spans="1:9" x14ac:dyDescent="0.25">
      <c r="A43" s="5">
        <v>55</v>
      </c>
      <c r="B43" s="9">
        <v>4.6305883035338821E-2</v>
      </c>
      <c r="D43" s="5" t="s">
        <v>29</v>
      </c>
      <c r="E43" s="11">
        <v>3.5126720525993173E-2</v>
      </c>
    </row>
    <row r="44" spans="1:9" x14ac:dyDescent="0.25">
      <c r="A44" s="5">
        <v>56</v>
      </c>
      <c r="B44" s="9">
        <v>4.6896688350921027E-2</v>
      </c>
      <c r="D44" s="5" t="s">
        <v>25</v>
      </c>
      <c r="E44" s="11">
        <v>5.3973084719822671E-2</v>
      </c>
    </row>
    <row r="45" spans="1:9" x14ac:dyDescent="0.25">
      <c r="A45" s="5">
        <v>57</v>
      </c>
      <c r="B45" s="9">
        <v>3.1646964536165098E-2</v>
      </c>
      <c r="D45" s="5" t="s">
        <v>30</v>
      </c>
      <c r="E45" s="11">
        <v>5.8809415868533457E-2</v>
      </c>
    </row>
    <row r="46" spans="1:9" x14ac:dyDescent="0.25">
      <c r="A46" s="5">
        <v>58</v>
      </c>
      <c r="B46" s="9">
        <v>3.9377865787086914E-2</v>
      </c>
      <c r="D46" s="5" t="s">
        <v>31</v>
      </c>
      <c r="E46" s="11">
        <v>4.7013804364691554E-2</v>
      </c>
    </row>
    <row r="47" spans="1:9" x14ac:dyDescent="0.25">
      <c r="A47" s="5">
        <v>59</v>
      </c>
      <c r="B47" s="9">
        <v>2.6086771230418214E-2</v>
      </c>
    </row>
    <row r="48" spans="1:9" x14ac:dyDescent="0.25">
      <c r="A48" s="5">
        <v>60</v>
      </c>
      <c r="B48" s="9">
        <v>8.2355201649772433E-2</v>
      </c>
    </row>
    <row r="49" spans="1:5" x14ac:dyDescent="0.25">
      <c r="A49" s="5">
        <v>61</v>
      </c>
      <c r="B49" s="9">
        <v>5.5329683754027512E-2</v>
      </c>
    </row>
    <row r="50" spans="1:5" x14ac:dyDescent="0.25">
      <c r="A50" s="5">
        <v>62</v>
      </c>
      <c r="B50" s="9">
        <v>5.3644818849300537E-2</v>
      </c>
    </row>
    <row r="51" spans="1:5" x14ac:dyDescent="0.25">
      <c r="A51" s="5">
        <v>63</v>
      </c>
      <c r="B51" s="9">
        <v>4.0255550878120987E-2</v>
      </c>
      <c r="D51" s="4" t="s">
        <v>34</v>
      </c>
      <c r="E51" t="s">
        <v>60</v>
      </c>
    </row>
    <row r="52" spans="1:5" x14ac:dyDescent="0.25">
      <c r="A52" s="5">
        <v>64</v>
      </c>
      <c r="B52" s="9">
        <v>0.17481409355716057</v>
      </c>
      <c r="D52" s="5" t="s">
        <v>29</v>
      </c>
      <c r="E52" s="10">
        <v>7.0650000000000004</v>
      </c>
    </row>
    <row r="53" spans="1:5" x14ac:dyDescent="0.25">
      <c r="A53" s="5">
        <v>65</v>
      </c>
      <c r="B53" s="9">
        <v>8.2216264521894553E-2</v>
      </c>
      <c r="D53" s="5" t="s">
        <v>25</v>
      </c>
      <c r="E53" s="10">
        <v>7.6333333333333329</v>
      </c>
    </row>
    <row r="54" spans="1:5" x14ac:dyDescent="0.25">
      <c r="A54" s="5">
        <v>66</v>
      </c>
      <c r="B54" s="9">
        <v>8.6089238439336829E-2</v>
      </c>
      <c r="D54" s="5" t="s">
        <v>30</v>
      </c>
      <c r="E54" s="10">
        <v>7.4481481481481477</v>
      </c>
    </row>
    <row r="55" spans="1:5" x14ac:dyDescent="0.25">
      <c r="A55" s="5">
        <v>67</v>
      </c>
      <c r="B55" s="9">
        <v>1.7768830427243955E-2</v>
      </c>
      <c r="D55" s="5" t="s">
        <v>31</v>
      </c>
      <c r="E55" s="10">
        <v>7.1827586206896559</v>
      </c>
    </row>
    <row r="56" spans="1:5" x14ac:dyDescent="0.25">
      <c r="A56" s="5">
        <v>68</v>
      </c>
      <c r="B56" s="9">
        <v>6.4685818208021995E-2</v>
      </c>
    </row>
    <row r="57" spans="1:5" x14ac:dyDescent="0.25">
      <c r="A57" s="5">
        <v>69</v>
      </c>
      <c r="B57" s="9">
        <v>1.797842588893328E-2</v>
      </c>
    </row>
    <row r="58" spans="1:5" x14ac:dyDescent="0.25">
      <c r="A58" s="5">
        <v>70</v>
      </c>
      <c r="B58" s="9">
        <v>2.0259740259740259E-2</v>
      </c>
    </row>
    <row r="59" spans="1:5" x14ac:dyDescent="0.25">
      <c r="A59" s="5">
        <v>71</v>
      </c>
      <c r="B59" s="9">
        <v>4.736371760500447E-2</v>
      </c>
    </row>
    <row r="60" spans="1:5" x14ac:dyDescent="0.25">
      <c r="A60" s="5">
        <v>73</v>
      </c>
      <c r="B60" s="9">
        <v>5.8231356257305654E-2</v>
      </c>
    </row>
    <row r="61" spans="1:5" x14ac:dyDescent="0.25">
      <c r="A61" s="5">
        <v>74</v>
      </c>
      <c r="B61" s="9">
        <v>3.0644431568018174E-2</v>
      </c>
    </row>
    <row r="62" spans="1:5" x14ac:dyDescent="0.25">
      <c r="A62" s="5">
        <v>75</v>
      </c>
      <c r="B62" s="9">
        <v>3.1117195328833863E-2</v>
      </c>
    </row>
    <row r="63" spans="1:5" x14ac:dyDescent="0.25">
      <c r="A63" s="5">
        <v>76</v>
      </c>
      <c r="B63" s="9">
        <v>5.3078380772881885E-2</v>
      </c>
    </row>
    <row r="64" spans="1:5" x14ac:dyDescent="0.25">
      <c r="A64" s="5">
        <v>77</v>
      </c>
      <c r="B64" s="9">
        <v>5.5025545186944559E-2</v>
      </c>
    </row>
    <row r="65" spans="1:2" x14ac:dyDescent="0.25">
      <c r="A65" s="5">
        <v>78</v>
      </c>
      <c r="B65" s="9">
        <v>2.775553407909985E-2</v>
      </c>
    </row>
    <row r="66" spans="1:2" x14ac:dyDescent="0.25">
      <c r="A66" s="5">
        <v>79</v>
      </c>
      <c r="B66" s="9">
        <v>8.8390501319261211E-2</v>
      </c>
    </row>
    <row r="67" spans="1:2" x14ac:dyDescent="0.25">
      <c r="A67" s="5">
        <v>80</v>
      </c>
      <c r="B67" s="9">
        <v>3.7145650048875857E-2</v>
      </c>
    </row>
    <row r="70" spans="1:2" x14ac:dyDescent="0.25">
      <c r="A70" s="4" t="s">
        <v>34</v>
      </c>
      <c r="B70" t="s">
        <v>44</v>
      </c>
    </row>
    <row r="71" spans="1:2" x14ac:dyDescent="0.25">
      <c r="A71" s="5" t="s">
        <v>29</v>
      </c>
      <c r="B71" s="13">
        <v>5940200000</v>
      </c>
    </row>
    <row r="72" spans="1:2" x14ac:dyDescent="0.25">
      <c r="A72" s="5" t="s">
        <v>25</v>
      </c>
      <c r="B72" s="13">
        <v>5475590000</v>
      </c>
    </row>
    <row r="73" spans="1:2" x14ac:dyDescent="0.25">
      <c r="A73" s="5" t="s">
        <v>30</v>
      </c>
      <c r="B73" s="13">
        <v>8696300000</v>
      </c>
    </row>
    <row r="74" spans="1:2" x14ac:dyDescent="0.25">
      <c r="A74" s="5" t="s">
        <v>31</v>
      </c>
      <c r="B74" s="13">
        <v>7141810000</v>
      </c>
    </row>
  </sheetData>
  <pageMargins left="0.7" right="0.7" top="0.75" bottom="0.75" header="0.3" footer="0.3"/>
  <pageSetup orientation="portrait" r:id="rId11"/>
  <drawing r:id="rId12"/>
  <extLst>
    <ext xmlns:x14="http://schemas.microsoft.com/office/spreadsheetml/2009/9/main" uri="{A8765BA9-456A-4dab-B4F3-ACF838C121DE}">
      <x14:slicerList>
        <x14:slicer r:id="rId1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33"/>
  <sheetViews>
    <sheetView showGridLines="0" showRowColHeaders="0" workbookViewId="0">
      <selection activeCell="K41" sqref="K41"/>
    </sheetView>
  </sheetViews>
  <sheetFormatPr defaultRowHeight="15" x14ac:dyDescent="0.25"/>
  <sheetData>
    <row r="1" spans="1:20" s="17" customFormat="1" ht="41.25" customHeight="1" x14ac:dyDescent="0.25">
      <c r="A1" s="18" t="s">
        <v>53</v>
      </c>
      <c r="B1" s="19"/>
      <c r="C1" s="19"/>
      <c r="D1" s="19"/>
      <c r="E1" s="19"/>
      <c r="F1" s="19"/>
      <c r="G1" s="19"/>
      <c r="H1" s="19"/>
      <c r="I1" s="19"/>
      <c r="J1" s="19"/>
      <c r="K1" s="19"/>
      <c r="L1" s="19"/>
      <c r="M1" s="19"/>
      <c r="N1" s="19"/>
      <c r="O1" s="19"/>
      <c r="P1" s="19"/>
      <c r="Q1" s="19"/>
      <c r="R1" s="19"/>
      <c r="S1" s="19"/>
      <c r="T1" s="19"/>
    </row>
    <row r="2" spans="1:20" x14ac:dyDescent="0.25">
      <c r="A2" s="14"/>
      <c r="B2" s="14"/>
      <c r="C2" s="14"/>
      <c r="D2" s="14"/>
      <c r="E2" s="14"/>
      <c r="F2" s="14"/>
      <c r="G2" s="14"/>
      <c r="H2" s="14"/>
      <c r="I2" s="14"/>
      <c r="J2" s="14"/>
      <c r="K2" s="14"/>
      <c r="L2" s="14"/>
      <c r="M2" s="14"/>
      <c r="N2" s="14"/>
      <c r="O2" s="14"/>
      <c r="P2" s="14"/>
      <c r="Q2" s="14"/>
      <c r="R2" s="14"/>
      <c r="S2" s="14"/>
      <c r="T2" s="14"/>
    </row>
    <row r="3" spans="1:20" x14ac:dyDescent="0.25">
      <c r="A3" s="14"/>
      <c r="B3" s="14"/>
      <c r="C3" s="14"/>
      <c r="D3" s="14"/>
      <c r="E3" s="14"/>
      <c r="F3" s="14"/>
      <c r="G3" s="14"/>
      <c r="H3" s="14"/>
      <c r="I3" s="14"/>
      <c r="J3" s="14"/>
      <c r="K3" s="14"/>
      <c r="L3" s="14"/>
      <c r="M3" s="14"/>
      <c r="N3" s="14"/>
      <c r="O3" s="14"/>
      <c r="P3" s="14"/>
      <c r="Q3" s="14"/>
      <c r="R3" s="14"/>
      <c r="S3" s="14"/>
      <c r="T3" s="14"/>
    </row>
    <row r="4" spans="1:20" x14ac:dyDescent="0.25">
      <c r="A4" s="14"/>
      <c r="B4" s="14"/>
      <c r="C4" s="14"/>
      <c r="D4" s="14"/>
      <c r="E4" s="14"/>
      <c r="F4" s="14"/>
      <c r="G4" s="14"/>
      <c r="H4" s="14"/>
      <c r="I4" s="14"/>
      <c r="J4" s="14"/>
      <c r="K4" s="14"/>
      <c r="L4" s="14"/>
      <c r="M4" s="14"/>
      <c r="N4" s="14"/>
      <c r="O4" s="14"/>
      <c r="P4" s="14"/>
      <c r="Q4" s="14"/>
      <c r="R4" s="14"/>
      <c r="S4" s="14"/>
      <c r="T4" s="14"/>
    </row>
    <row r="5" spans="1:20" x14ac:dyDescent="0.25">
      <c r="A5" s="14"/>
      <c r="B5" s="14"/>
      <c r="C5" s="14"/>
      <c r="D5" s="14"/>
      <c r="E5" s="14"/>
      <c r="F5" s="14"/>
      <c r="G5" s="14"/>
      <c r="H5" s="14"/>
      <c r="I5" s="14"/>
      <c r="J5" s="14"/>
      <c r="K5" s="14"/>
      <c r="L5" s="14"/>
      <c r="M5" s="14"/>
      <c r="N5" s="14"/>
      <c r="O5" s="14"/>
      <c r="P5" s="14"/>
      <c r="Q5" s="14"/>
      <c r="R5" s="14"/>
      <c r="S5" s="14"/>
      <c r="T5" s="14"/>
    </row>
    <row r="6" spans="1:20" x14ac:dyDescent="0.25">
      <c r="A6" s="14"/>
      <c r="B6" s="14"/>
      <c r="C6" s="14"/>
      <c r="D6" s="14"/>
      <c r="E6" s="14"/>
      <c r="F6" s="14"/>
      <c r="G6" s="14"/>
      <c r="H6" s="14"/>
      <c r="I6" s="14"/>
      <c r="J6" s="14"/>
      <c r="K6" s="14"/>
      <c r="L6" s="14"/>
      <c r="M6" s="14"/>
      <c r="N6" s="14"/>
      <c r="O6" s="14"/>
      <c r="P6" s="14"/>
      <c r="Q6" s="14"/>
      <c r="R6" s="14"/>
      <c r="S6" s="14"/>
      <c r="T6" s="14"/>
    </row>
    <row r="7" spans="1:20" x14ac:dyDescent="0.25">
      <c r="A7" s="14"/>
      <c r="B7" s="14"/>
      <c r="C7" s="14"/>
      <c r="D7" s="14"/>
      <c r="E7" s="14"/>
      <c r="F7" s="14"/>
      <c r="G7" s="14"/>
      <c r="H7" s="14"/>
      <c r="I7" s="14"/>
      <c r="J7" s="14"/>
      <c r="K7" s="14"/>
      <c r="L7" s="14"/>
      <c r="M7" s="14"/>
      <c r="N7" s="14"/>
      <c r="O7" s="14"/>
      <c r="P7" s="14"/>
      <c r="Q7" s="14"/>
      <c r="R7" s="14"/>
      <c r="S7" s="14"/>
      <c r="T7" s="14"/>
    </row>
    <row r="8" spans="1:20" x14ac:dyDescent="0.25">
      <c r="A8" s="14"/>
      <c r="B8" s="14"/>
      <c r="C8" s="14"/>
      <c r="D8" s="14"/>
      <c r="E8" s="14"/>
      <c r="F8" s="14"/>
      <c r="G8" s="14"/>
      <c r="H8" s="14"/>
      <c r="I8" s="14"/>
      <c r="J8" s="14"/>
      <c r="K8" s="14"/>
      <c r="L8" s="14"/>
      <c r="M8" s="14"/>
      <c r="N8" s="14"/>
      <c r="O8" s="14"/>
      <c r="P8" s="14"/>
      <c r="Q8" s="14"/>
      <c r="R8" s="14"/>
      <c r="S8" s="14"/>
      <c r="T8" s="14"/>
    </row>
    <row r="9" spans="1:20" x14ac:dyDescent="0.25">
      <c r="A9" s="14"/>
      <c r="B9" s="14"/>
      <c r="C9" s="14"/>
      <c r="D9" s="14"/>
      <c r="E9" s="14"/>
      <c r="F9" s="14"/>
      <c r="G9" s="14"/>
      <c r="H9" s="14"/>
      <c r="I9" s="14"/>
      <c r="J9" s="14"/>
      <c r="K9" s="14"/>
      <c r="L9" s="14"/>
      <c r="M9" s="14"/>
      <c r="N9" s="14"/>
      <c r="O9" s="14"/>
      <c r="P9" s="14"/>
      <c r="Q9" s="14"/>
      <c r="R9" s="14"/>
      <c r="S9" s="14"/>
      <c r="T9" s="14"/>
    </row>
    <row r="10" spans="1:20" x14ac:dyDescent="0.25">
      <c r="A10" s="14"/>
      <c r="B10" s="14"/>
      <c r="C10" s="14"/>
      <c r="D10" s="14"/>
      <c r="E10" s="14"/>
      <c r="F10" s="14"/>
      <c r="G10" s="14"/>
      <c r="H10" s="14"/>
      <c r="I10" s="14"/>
      <c r="J10" s="14"/>
      <c r="K10" s="14"/>
      <c r="L10" s="14"/>
      <c r="M10" s="14"/>
      <c r="N10" s="14"/>
      <c r="O10" s="14"/>
      <c r="P10" s="14"/>
      <c r="Q10" s="14"/>
      <c r="R10" s="14"/>
      <c r="S10" s="14"/>
      <c r="T10" s="14"/>
    </row>
    <row r="11" spans="1:20" x14ac:dyDescent="0.25">
      <c r="A11" s="14"/>
      <c r="B11" s="14"/>
      <c r="C11" s="14"/>
      <c r="D11" s="14"/>
      <c r="E11" s="14"/>
      <c r="F11" s="14"/>
      <c r="G11" s="14"/>
      <c r="H11" s="14"/>
      <c r="I11" s="14"/>
      <c r="J11" s="14"/>
      <c r="K11" s="14"/>
      <c r="L11" s="14"/>
      <c r="M11" s="14"/>
      <c r="N11" s="14"/>
      <c r="O11" s="14"/>
      <c r="P11" s="14"/>
      <c r="Q11" s="14"/>
      <c r="R11" s="14"/>
      <c r="S11" s="14"/>
      <c r="T11" s="14"/>
    </row>
    <row r="12" spans="1:20" x14ac:dyDescent="0.25">
      <c r="A12" s="14"/>
      <c r="B12" s="14"/>
      <c r="C12" s="14"/>
      <c r="D12" s="14"/>
      <c r="E12" s="14"/>
      <c r="F12" s="14"/>
      <c r="G12" s="14"/>
      <c r="H12" s="14"/>
      <c r="I12" s="14"/>
      <c r="J12" s="14"/>
      <c r="K12" s="14"/>
      <c r="L12" s="14"/>
      <c r="M12" s="14"/>
      <c r="N12" s="14"/>
      <c r="O12" s="14"/>
      <c r="P12" s="14"/>
      <c r="Q12" s="14"/>
      <c r="R12" s="14"/>
      <c r="S12" s="14"/>
      <c r="T12" s="14"/>
    </row>
    <row r="13" spans="1:20" x14ac:dyDescent="0.25">
      <c r="A13" s="14"/>
      <c r="B13" s="14"/>
      <c r="C13" s="14"/>
      <c r="D13" s="14"/>
      <c r="E13" s="14"/>
      <c r="F13" s="14"/>
      <c r="G13" s="14"/>
      <c r="H13" s="14"/>
      <c r="I13" s="14"/>
      <c r="J13" s="14"/>
      <c r="K13" s="14"/>
      <c r="L13" s="14"/>
      <c r="M13" s="14"/>
      <c r="N13" s="14"/>
      <c r="O13" s="14"/>
      <c r="P13" s="14"/>
      <c r="Q13" s="14"/>
      <c r="R13" s="14"/>
      <c r="S13" s="14"/>
      <c r="T13" s="14"/>
    </row>
    <row r="14" spans="1:20" x14ac:dyDescent="0.25">
      <c r="A14" s="14"/>
      <c r="B14" s="14"/>
      <c r="C14" s="14"/>
      <c r="D14" s="14"/>
      <c r="E14" s="14"/>
      <c r="F14" s="14"/>
      <c r="G14" s="14"/>
      <c r="H14" s="14"/>
      <c r="I14" s="14"/>
      <c r="J14" s="14"/>
      <c r="K14" s="14"/>
      <c r="L14" s="14"/>
      <c r="M14" s="14"/>
      <c r="N14" s="14"/>
      <c r="O14" s="14"/>
      <c r="P14" s="14"/>
      <c r="Q14" s="14"/>
      <c r="R14" s="14"/>
      <c r="S14" s="14"/>
      <c r="T14" s="14"/>
    </row>
    <row r="15" spans="1:20" x14ac:dyDescent="0.25">
      <c r="A15" s="14"/>
      <c r="B15" s="14"/>
      <c r="C15" s="14"/>
      <c r="D15" s="14"/>
      <c r="E15" s="14"/>
      <c r="F15" s="14"/>
      <c r="G15" s="14"/>
      <c r="H15" s="14"/>
      <c r="I15" s="14"/>
      <c r="J15" s="14"/>
      <c r="K15" s="14"/>
      <c r="L15" s="14"/>
      <c r="M15" s="14"/>
      <c r="N15" s="14"/>
      <c r="O15" s="14"/>
      <c r="P15" s="14"/>
      <c r="Q15" s="14"/>
      <c r="R15" s="14"/>
      <c r="S15" s="14"/>
      <c r="T15" s="14"/>
    </row>
    <row r="16" spans="1:20" x14ac:dyDescent="0.25">
      <c r="A16" s="14"/>
      <c r="B16" s="14"/>
      <c r="C16" s="14"/>
      <c r="D16" s="14"/>
      <c r="E16" s="14"/>
      <c r="F16" s="14"/>
      <c r="G16" s="14"/>
      <c r="H16" s="14"/>
      <c r="I16" s="14"/>
      <c r="J16" s="14"/>
      <c r="K16" s="14"/>
      <c r="L16" s="14"/>
      <c r="M16" s="14"/>
      <c r="N16" s="14"/>
      <c r="O16" s="14"/>
      <c r="P16" s="14"/>
      <c r="Q16" s="14"/>
      <c r="R16" s="14"/>
      <c r="S16" s="14"/>
      <c r="T16" s="14"/>
    </row>
    <row r="17" spans="1:20" x14ac:dyDescent="0.25">
      <c r="A17" s="14"/>
      <c r="B17" s="14"/>
      <c r="C17" s="14"/>
      <c r="D17" s="14"/>
      <c r="E17" s="14"/>
      <c r="F17" s="14"/>
      <c r="G17" s="14"/>
      <c r="H17" s="14"/>
      <c r="I17" s="14"/>
      <c r="J17" s="14"/>
      <c r="K17" s="14"/>
      <c r="L17" s="14"/>
      <c r="M17" s="14"/>
      <c r="N17" s="14"/>
      <c r="O17" s="14"/>
      <c r="P17" s="14"/>
      <c r="Q17" s="14"/>
      <c r="R17" s="14"/>
      <c r="S17" s="14"/>
      <c r="T17" s="14"/>
    </row>
    <row r="18" spans="1:20" x14ac:dyDescent="0.25">
      <c r="A18" s="14"/>
      <c r="B18" s="14"/>
      <c r="C18" s="14"/>
      <c r="D18" s="14"/>
      <c r="E18" s="14"/>
      <c r="F18" s="14"/>
      <c r="G18" s="14"/>
      <c r="H18" s="14"/>
      <c r="I18" s="14"/>
      <c r="J18" s="14"/>
      <c r="K18" s="14"/>
      <c r="L18" s="14"/>
      <c r="M18" s="14"/>
      <c r="N18" s="14"/>
      <c r="O18" s="14"/>
      <c r="P18" s="14"/>
      <c r="Q18" s="14"/>
      <c r="R18" s="14"/>
      <c r="S18" s="14"/>
      <c r="T18" s="14"/>
    </row>
    <row r="19" spans="1:20" x14ac:dyDescent="0.25">
      <c r="A19" s="14"/>
      <c r="B19" s="14"/>
      <c r="C19" s="14"/>
      <c r="D19" s="14"/>
      <c r="E19" s="14"/>
      <c r="F19" s="14"/>
      <c r="G19" s="14"/>
      <c r="H19" s="14"/>
      <c r="I19" s="14"/>
      <c r="J19" s="14"/>
      <c r="K19" s="14"/>
      <c r="L19" s="14"/>
      <c r="M19" s="14"/>
      <c r="N19" s="14"/>
      <c r="O19" s="14"/>
      <c r="P19" s="14"/>
      <c r="Q19" s="14"/>
      <c r="R19" s="14"/>
      <c r="S19" s="14"/>
      <c r="T19" s="14"/>
    </row>
    <row r="20" spans="1:20" x14ac:dyDescent="0.25">
      <c r="A20" s="14"/>
      <c r="B20" s="14"/>
      <c r="C20" s="14"/>
      <c r="D20" s="14"/>
      <c r="E20" s="14"/>
      <c r="F20" s="14"/>
      <c r="G20" s="14"/>
      <c r="H20" s="14"/>
      <c r="I20" s="14"/>
      <c r="J20" s="14"/>
      <c r="K20" s="14"/>
      <c r="L20" s="14"/>
      <c r="M20" s="14"/>
      <c r="N20" s="14"/>
      <c r="O20" s="14"/>
      <c r="P20" s="14"/>
      <c r="Q20" s="14"/>
      <c r="R20" s="14"/>
      <c r="S20" s="14"/>
      <c r="T20" s="14"/>
    </row>
    <row r="21" spans="1:20" x14ac:dyDescent="0.25">
      <c r="A21" s="14"/>
      <c r="B21" s="14"/>
      <c r="C21" s="14"/>
      <c r="D21" s="14"/>
      <c r="E21" s="14"/>
      <c r="F21" s="14"/>
      <c r="G21" s="14"/>
      <c r="H21" s="14"/>
      <c r="I21" s="14"/>
      <c r="J21" s="14"/>
      <c r="K21" s="14"/>
      <c r="L21" s="14"/>
      <c r="M21" s="14"/>
      <c r="N21" s="14"/>
      <c r="O21" s="14"/>
      <c r="P21" s="14"/>
      <c r="Q21" s="14"/>
      <c r="R21" s="14"/>
      <c r="S21" s="14"/>
      <c r="T21" s="14"/>
    </row>
    <row r="22" spans="1:20" x14ac:dyDescent="0.25">
      <c r="A22" s="14"/>
      <c r="B22" s="14"/>
      <c r="C22" s="14"/>
      <c r="D22" s="14"/>
      <c r="E22" s="14"/>
      <c r="F22" s="14"/>
      <c r="G22" s="14"/>
      <c r="H22" s="14"/>
      <c r="I22" s="14"/>
      <c r="J22" s="14"/>
      <c r="K22" s="14"/>
      <c r="L22" s="14"/>
      <c r="M22" s="14"/>
      <c r="N22" s="14"/>
      <c r="O22" s="14"/>
      <c r="P22" s="14"/>
      <c r="Q22" s="14"/>
      <c r="R22" s="14"/>
      <c r="S22" s="14"/>
      <c r="T22" s="14"/>
    </row>
    <row r="23" spans="1:20" x14ac:dyDescent="0.25">
      <c r="A23" s="14"/>
      <c r="B23" s="14"/>
      <c r="C23" s="14"/>
      <c r="D23" s="14"/>
      <c r="E23" s="14"/>
      <c r="F23" s="14"/>
      <c r="G23" s="14"/>
      <c r="H23" s="14"/>
      <c r="I23" s="14"/>
      <c r="J23" s="14"/>
      <c r="K23" s="14"/>
      <c r="L23" s="14"/>
      <c r="M23" s="14"/>
      <c r="N23" s="14"/>
      <c r="O23" s="14"/>
      <c r="P23" s="14"/>
      <c r="Q23" s="14"/>
      <c r="R23" s="14"/>
      <c r="S23" s="14"/>
      <c r="T23" s="14"/>
    </row>
    <row r="24" spans="1:20" x14ac:dyDescent="0.25">
      <c r="A24" s="14"/>
      <c r="B24" s="14"/>
      <c r="C24" s="14"/>
      <c r="D24" s="14"/>
      <c r="E24" s="14"/>
      <c r="F24" s="14"/>
      <c r="G24" s="14"/>
      <c r="H24" s="14"/>
      <c r="I24" s="14"/>
      <c r="J24" s="14"/>
      <c r="K24" s="14"/>
      <c r="L24" s="14"/>
      <c r="M24" s="14"/>
      <c r="N24" s="14"/>
      <c r="O24" s="14"/>
      <c r="P24" s="14"/>
      <c r="Q24" s="14"/>
      <c r="R24" s="14"/>
      <c r="S24" s="14"/>
      <c r="T24" s="14"/>
    </row>
    <row r="25" spans="1:20" x14ac:dyDescent="0.25">
      <c r="A25" s="14"/>
      <c r="B25" s="14"/>
      <c r="C25" s="14"/>
      <c r="D25" s="14"/>
      <c r="E25" s="14"/>
      <c r="F25" s="14"/>
      <c r="G25" s="14"/>
      <c r="H25" s="14"/>
      <c r="I25" s="14"/>
      <c r="J25" s="14"/>
      <c r="K25" s="14"/>
      <c r="L25" s="14"/>
      <c r="M25" s="14"/>
      <c r="N25" s="14"/>
      <c r="O25" s="14"/>
      <c r="P25" s="14"/>
      <c r="Q25" s="14"/>
      <c r="R25" s="14"/>
      <c r="S25" s="14"/>
      <c r="T25" s="14"/>
    </row>
    <row r="26" spans="1:20" x14ac:dyDescent="0.25">
      <c r="A26" s="14"/>
      <c r="B26" s="14"/>
      <c r="C26" s="14"/>
      <c r="D26" s="14"/>
      <c r="E26" s="14"/>
      <c r="F26" s="14"/>
      <c r="G26" s="14"/>
      <c r="H26" s="14"/>
      <c r="I26" s="14"/>
      <c r="J26" s="14"/>
      <c r="K26" s="14"/>
      <c r="L26" s="14"/>
      <c r="M26" s="14"/>
      <c r="N26" s="14"/>
      <c r="O26" s="14"/>
      <c r="P26" s="14"/>
      <c r="Q26" s="14"/>
      <c r="R26" s="14"/>
      <c r="S26" s="14"/>
      <c r="T26" s="14"/>
    </row>
    <row r="27" spans="1:20" x14ac:dyDescent="0.25">
      <c r="A27" s="14"/>
      <c r="B27" s="14"/>
      <c r="C27" s="14"/>
      <c r="D27" s="14"/>
      <c r="E27" s="14"/>
      <c r="F27" s="14"/>
      <c r="G27" s="14"/>
      <c r="H27" s="14"/>
      <c r="I27" s="14"/>
      <c r="J27" s="14"/>
      <c r="K27" s="14"/>
      <c r="L27" s="14"/>
      <c r="M27" s="14"/>
      <c r="N27" s="14"/>
      <c r="O27" s="14"/>
      <c r="P27" s="14"/>
      <c r="Q27" s="14"/>
      <c r="R27" s="14"/>
      <c r="S27" s="14"/>
      <c r="T27" s="14"/>
    </row>
    <row r="28" spans="1:20" x14ac:dyDescent="0.25">
      <c r="A28" s="14"/>
      <c r="B28" s="14"/>
      <c r="C28" s="14"/>
      <c r="D28" s="14"/>
      <c r="E28" s="14"/>
      <c r="F28" s="14"/>
      <c r="G28" s="14"/>
      <c r="H28" s="14"/>
      <c r="I28" s="14"/>
      <c r="J28" s="14"/>
      <c r="K28" s="14"/>
      <c r="L28" s="14"/>
      <c r="M28" s="14"/>
      <c r="N28" s="14"/>
      <c r="O28" s="14"/>
      <c r="P28" s="14"/>
      <c r="Q28" s="14"/>
      <c r="R28" s="14"/>
      <c r="S28" s="14"/>
      <c r="T28" s="14"/>
    </row>
    <row r="29" spans="1:20" x14ac:dyDescent="0.25">
      <c r="A29" s="14"/>
      <c r="B29" s="14"/>
      <c r="C29" s="14"/>
      <c r="D29" s="14"/>
      <c r="E29" s="14"/>
      <c r="F29" s="14"/>
      <c r="G29" s="14"/>
      <c r="H29" s="14"/>
      <c r="I29" s="14"/>
      <c r="J29" s="14"/>
      <c r="K29" s="14"/>
      <c r="L29" s="14"/>
      <c r="M29" s="14"/>
      <c r="N29" s="14"/>
      <c r="O29" s="14"/>
      <c r="P29" s="14"/>
      <c r="Q29" s="14"/>
      <c r="R29" s="14"/>
      <c r="S29" s="14"/>
      <c r="T29" s="14"/>
    </row>
    <row r="30" spans="1:20" x14ac:dyDescent="0.25">
      <c r="A30" s="14"/>
      <c r="B30" s="14"/>
      <c r="C30" s="14"/>
      <c r="D30" s="14"/>
      <c r="E30" s="14"/>
      <c r="F30" s="14"/>
      <c r="G30" s="14"/>
      <c r="H30" s="14"/>
      <c r="I30" s="14"/>
      <c r="J30" s="14"/>
      <c r="K30" s="14"/>
      <c r="L30" s="14"/>
      <c r="M30" s="14"/>
      <c r="N30" s="14"/>
      <c r="O30" s="14"/>
      <c r="P30" s="14"/>
      <c r="Q30" s="14"/>
      <c r="R30" s="14"/>
      <c r="S30" s="14"/>
      <c r="T30" s="14"/>
    </row>
    <row r="31" spans="1:20" x14ac:dyDescent="0.25">
      <c r="A31" s="14"/>
      <c r="B31" s="14"/>
      <c r="C31" s="14"/>
      <c r="D31" s="14"/>
      <c r="E31" s="14"/>
      <c r="F31" s="14"/>
      <c r="G31" s="14"/>
      <c r="H31" s="14"/>
      <c r="I31" s="14"/>
      <c r="J31" s="14"/>
      <c r="K31" s="14"/>
      <c r="L31" s="14"/>
      <c r="M31" s="14"/>
      <c r="N31" s="14"/>
      <c r="O31" s="14"/>
      <c r="P31" s="14"/>
      <c r="Q31" s="14"/>
      <c r="R31" s="14"/>
      <c r="S31" s="14"/>
      <c r="T31" s="14"/>
    </row>
    <row r="32" spans="1:20" x14ac:dyDescent="0.25">
      <c r="A32" s="14"/>
      <c r="B32" s="14"/>
      <c r="C32" s="14"/>
      <c r="D32" s="14"/>
      <c r="E32" s="14"/>
      <c r="F32" s="14"/>
      <c r="G32" s="14"/>
      <c r="H32" s="14"/>
      <c r="I32" s="14"/>
      <c r="J32" s="14"/>
      <c r="K32" s="14"/>
      <c r="L32" s="14"/>
      <c r="M32" s="14"/>
      <c r="N32" s="14"/>
      <c r="O32" s="14"/>
      <c r="P32" s="14"/>
      <c r="Q32" s="14"/>
      <c r="R32" s="14"/>
      <c r="S32" s="14"/>
      <c r="T32" s="14"/>
    </row>
    <row r="33" spans="1:20" x14ac:dyDescent="0.25">
      <c r="A33" s="14"/>
      <c r="B33" s="14"/>
      <c r="C33" s="14"/>
      <c r="D33" s="14"/>
      <c r="E33" s="14"/>
      <c r="F33" s="14"/>
      <c r="G33" s="14"/>
      <c r="H33" s="14"/>
      <c r="I33" s="14"/>
      <c r="J33" s="14"/>
      <c r="K33" s="14"/>
      <c r="L33" s="14"/>
      <c r="M33" s="14"/>
      <c r="N33" s="14"/>
      <c r="O33" s="14"/>
      <c r="P33" s="14"/>
      <c r="Q33" s="14"/>
      <c r="R33" s="14"/>
      <c r="S33" s="14"/>
      <c r="T33" s="14"/>
    </row>
  </sheetData>
  <mergeCells count="1">
    <mergeCell ref="A1:T1"/>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6"/>
  <sheetViews>
    <sheetView showRowColHeaders="0" workbookViewId="0">
      <selection activeCell="C21" sqref="C21"/>
    </sheetView>
  </sheetViews>
  <sheetFormatPr defaultRowHeight="15" x14ac:dyDescent="0.25"/>
  <cols>
    <col min="1" max="1" width="8.7109375" style="2" bestFit="1" customWidth="1"/>
    <col min="2" max="2" width="26.85546875" style="2" bestFit="1" customWidth="1"/>
    <col min="3" max="3" width="84.5703125" style="1" bestFit="1" customWidth="1"/>
    <col min="4" max="16384" width="9.140625" style="1"/>
  </cols>
  <sheetData>
    <row r="1" spans="1:3" x14ac:dyDescent="0.25">
      <c r="A1" s="2" t="s">
        <v>22</v>
      </c>
      <c r="B1" s="2" t="s">
        <v>21</v>
      </c>
      <c r="C1" s="1" t="s">
        <v>20</v>
      </c>
    </row>
    <row r="2" spans="1:3" x14ac:dyDescent="0.25">
      <c r="A2" s="2">
        <v>1</v>
      </c>
      <c r="B2" s="2" t="s">
        <v>19</v>
      </c>
      <c r="C2" s="1" t="s">
        <v>56</v>
      </c>
    </row>
    <row r="3" spans="1:3" x14ac:dyDescent="0.25">
      <c r="A3" s="2">
        <v>2</v>
      </c>
      <c r="B3" s="2" t="s">
        <v>18</v>
      </c>
      <c r="C3" s="1" t="s">
        <v>55</v>
      </c>
    </row>
    <row r="4" spans="1:3" x14ac:dyDescent="0.25">
      <c r="A4" s="2">
        <v>3</v>
      </c>
      <c r="B4" s="2" t="s">
        <v>17</v>
      </c>
      <c r="C4" s="1" t="s">
        <v>57</v>
      </c>
    </row>
    <row r="5" spans="1:3" x14ac:dyDescent="0.25">
      <c r="A5" s="2">
        <v>4</v>
      </c>
      <c r="B5" s="2" t="s">
        <v>16</v>
      </c>
      <c r="C5" s="1" t="s">
        <v>58</v>
      </c>
    </row>
    <row r="6" spans="1:3" x14ac:dyDescent="0.25">
      <c r="A6" s="2">
        <v>5</v>
      </c>
      <c r="B6" s="2" t="s">
        <v>15</v>
      </c>
      <c r="C6" s="1" t="s">
        <v>14</v>
      </c>
    </row>
    <row r="7" spans="1:3" x14ac:dyDescent="0.25">
      <c r="A7" s="2">
        <v>6</v>
      </c>
      <c r="B7" s="2" t="s">
        <v>13</v>
      </c>
      <c r="C7" s="1" t="s">
        <v>12</v>
      </c>
    </row>
    <row r="8" spans="1:3" x14ac:dyDescent="0.25">
      <c r="A8" s="2">
        <v>7</v>
      </c>
      <c r="B8" s="2" t="s">
        <v>11</v>
      </c>
      <c r="C8" s="1" t="s">
        <v>10</v>
      </c>
    </row>
    <row r="9" spans="1:3" x14ac:dyDescent="0.25">
      <c r="A9" s="2">
        <v>8</v>
      </c>
      <c r="B9" s="2" t="s">
        <v>9</v>
      </c>
      <c r="C9" s="1" t="s">
        <v>8</v>
      </c>
    </row>
    <row r="10" spans="1:3" x14ac:dyDescent="0.25">
      <c r="A10" s="2">
        <v>9</v>
      </c>
      <c r="B10" s="2" t="s">
        <v>7</v>
      </c>
      <c r="C10" s="1" t="s">
        <v>6</v>
      </c>
    </row>
    <row r="11" spans="1:3" x14ac:dyDescent="0.25">
      <c r="A11" s="2">
        <v>10</v>
      </c>
      <c r="B11" s="2" t="s">
        <v>5</v>
      </c>
      <c r="C11" s="1" t="s">
        <v>4</v>
      </c>
    </row>
    <row r="12" spans="1:3" x14ac:dyDescent="0.25">
      <c r="A12" s="2">
        <v>11</v>
      </c>
      <c r="B12" s="2" t="s">
        <v>3</v>
      </c>
      <c r="C12" s="1" t="s">
        <v>2</v>
      </c>
    </row>
    <row r="13" spans="1:3" x14ac:dyDescent="0.25">
      <c r="A13" s="2">
        <v>12</v>
      </c>
      <c r="B13" s="2" t="s">
        <v>1</v>
      </c>
      <c r="C13" s="1" t="s">
        <v>0</v>
      </c>
    </row>
    <row r="14" spans="1:3" x14ac:dyDescent="0.25">
      <c r="A14" s="15">
        <v>13</v>
      </c>
      <c r="B14" s="15" t="s">
        <v>39</v>
      </c>
      <c r="C14" s="16" t="s">
        <v>51</v>
      </c>
    </row>
    <row r="15" spans="1:3" x14ac:dyDescent="0.25">
      <c r="A15" s="15">
        <v>14</v>
      </c>
      <c r="B15" s="15" t="s">
        <v>38</v>
      </c>
      <c r="C15" s="16" t="s">
        <v>52</v>
      </c>
    </row>
    <row r="16" spans="1:3" x14ac:dyDescent="0.25">
      <c r="A16" s="2">
        <v>15</v>
      </c>
      <c r="B16" s="2" t="s">
        <v>37</v>
      </c>
      <c r="C16" s="1" t="s">
        <v>54</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101"/>
  <sheetViews>
    <sheetView topLeftCell="A2" workbookViewId="0">
      <selection activeCell="E24" sqref="E24"/>
    </sheetView>
  </sheetViews>
  <sheetFormatPr defaultRowHeight="15" x14ac:dyDescent="0.25"/>
  <cols>
    <col min="1" max="1" width="7.42578125" style="1" customWidth="1"/>
    <col min="2" max="2" width="13.28515625" style="1" bestFit="1" customWidth="1"/>
    <col min="3" max="3" width="18.7109375" style="1" customWidth="1"/>
    <col min="4" max="4" width="22.7109375" style="1" customWidth="1"/>
    <col min="5" max="5" width="25.5703125" style="1" customWidth="1"/>
    <col min="6" max="6" width="18.28515625" style="1" customWidth="1"/>
    <col min="7" max="7" width="22.42578125" style="1" customWidth="1"/>
    <col min="8" max="8" width="22.42578125" style="7" customWidth="1"/>
    <col min="9" max="9" width="23.140625" style="1" customWidth="1"/>
    <col min="10" max="10" width="23.140625" style="1" bestFit="1" customWidth="1"/>
    <col min="11" max="11" width="25.28515625" style="8" bestFit="1" customWidth="1"/>
    <col min="12" max="12" width="20.7109375" style="1" customWidth="1"/>
    <col min="13" max="13" width="29.140625" style="1" bestFit="1" customWidth="1"/>
    <col min="14" max="14" width="24.85546875" style="1" customWidth="1"/>
    <col min="15" max="15" width="23" style="3" customWidth="1"/>
    <col min="16" max="16384" width="9.140625" style="1"/>
  </cols>
  <sheetData>
    <row r="1" spans="1:15" x14ac:dyDescent="0.25">
      <c r="A1" s="1" t="s">
        <v>23</v>
      </c>
      <c r="B1" s="1" t="s">
        <v>18</v>
      </c>
      <c r="C1" s="1" t="s">
        <v>17</v>
      </c>
      <c r="D1" s="1" t="s">
        <v>16</v>
      </c>
      <c r="E1" s="1" t="s">
        <v>15</v>
      </c>
      <c r="F1" s="1" t="s">
        <v>13</v>
      </c>
      <c r="G1" s="1" t="s">
        <v>11</v>
      </c>
      <c r="H1" s="7" t="s">
        <v>38</v>
      </c>
      <c r="I1" s="1" t="s">
        <v>9</v>
      </c>
      <c r="J1" s="1" t="s">
        <v>7</v>
      </c>
      <c r="K1" s="8" t="s">
        <v>39</v>
      </c>
      <c r="L1" s="1" t="s">
        <v>37</v>
      </c>
      <c r="M1" s="1" t="s">
        <v>5</v>
      </c>
      <c r="N1" s="1" t="s">
        <v>3</v>
      </c>
      <c r="O1" s="3" t="s">
        <v>1</v>
      </c>
    </row>
    <row r="2" spans="1:15" x14ac:dyDescent="0.25">
      <c r="A2" s="1">
        <v>2020</v>
      </c>
      <c r="B2" s="1" t="s">
        <v>24</v>
      </c>
      <c r="C2" s="1" t="s">
        <v>25</v>
      </c>
      <c r="D2" s="1" t="s">
        <v>26</v>
      </c>
      <c r="E2" s="1">
        <v>2829</v>
      </c>
      <c r="F2" s="1">
        <v>51</v>
      </c>
      <c r="G2" s="1">
        <v>123</v>
      </c>
      <c r="H2" s="7">
        <f>Data[[#This Row],[Compliance_Violations]]/Data[[#This Row],[Total_Audit_Engagements]]</f>
        <v>4.3478260869565216E-2</v>
      </c>
      <c r="I2" s="1">
        <v>39</v>
      </c>
      <c r="J2" s="1">
        <v>57</v>
      </c>
      <c r="K2" s="8">
        <f>Data[[#This Row],[Fraud_Cases_Detected]]/Data[[#This Row],[Employee_Workload]]</f>
        <v>0.68421052631578949</v>
      </c>
      <c r="L2" s="1" t="str">
        <f>IF(Data[[#This Row],[Employee_Workload]]&lt;=45, "Low", IF(Data[[#This Row],[Employee_Workload]]&lt;=65, "Medium", "High"))</f>
        <v>Medium</v>
      </c>
      <c r="M2" s="1">
        <v>5.8</v>
      </c>
      <c r="N2" s="1">
        <v>8.4</v>
      </c>
      <c r="O2" s="3">
        <v>114240000</v>
      </c>
    </row>
    <row r="3" spans="1:15" x14ac:dyDescent="0.25">
      <c r="A3" s="1">
        <v>2022</v>
      </c>
      <c r="B3" s="1" t="s">
        <v>27</v>
      </c>
      <c r="C3" s="1" t="s">
        <v>25</v>
      </c>
      <c r="D3" s="1" t="s">
        <v>28</v>
      </c>
      <c r="E3" s="1">
        <v>3589</v>
      </c>
      <c r="F3" s="1">
        <v>185</v>
      </c>
      <c r="G3" s="1">
        <v>30</v>
      </c>
      <c r="H3" s="7">
        <f>Data[[#This Row],[Compliance_Violations]]/Data[[#This Row],[Total_Audit_Engagements]]</f>
        <v>8.3588743382557815E-3</v>
      </c>
      <c r="I3" s="1">
        <v>60</v>
      </c>
      <c r="J3" s="1">
        <v>58</v>
      </c>
      <c r="K3" s="8">
        <f>Data[[#This Row],[Fraud_Cases_Detected]]/Data[[#This Row],[Employee_Workload]]</f>
        <v>1.0344827586206897</v>
      </c>
      <c r="L3" s="1" t="str">
        <f>IF(Data[[#This Row],[Employee_Workload]]&lt;=45, "Low", IF(Data[[#This Row],[Employee_Workload]]&lt;=65, "Medium", "High"))</f>
        <v>Medium</v>
      </c>
      <c r="M3" s="1">
        <v>5.3</v>
      </c>
      <c r="N3" s="1">
        <v>6.7</v>
      </c>
      <c r="O3" s="3">
        <v>156980000</v>
      </c>
    </row>
    <row r="4" spans="1:15" x14ac:dyDescent="0.25">
      <c r="A4" s="1">
        <v>2020</v>
      </c>
      <c r="B4" s="1" t="s">
        <v>24</v>
      </c>
      <c r="C4" s="1" t="s">
        <v>25</v>
      </c>
      <c r="D4" s="1" t="s">
        <v>26</v>
      </c>
      <c r="E4" s="1">
        <v>2438</v>
      </c>
      <c r="F4" s="1">
        <v>212</v>
      </c>
      <c r="G4" s="1">
        <v>124</v>
      </c>
      <c r="H4" s="7">
        <f>Data[[#This Row],[Compliance_Violations]]/Data[[#This Row],[Total_Audit_Engagements]]</f>
        <v>5.0861361771944218E-2</v>
      </c>
      <c r="I4" s="1">
        <v>97</v>
      </c>
      <c r="J4" s="1">
        <v>76</v>
      </c>
      <c r="K4" s="8">
        <f>Data[[#This Row],[Fraud_Cases_Detected]]/Data[[#This Row],[Employee_Workload]]</f>
        <v>1.2763157894736843</v>
      </c>
      <c r="L4" s="1" t="str">
        <f>IF(Data[[#This Row],[Employee_Workload]]&lt;=45, "Low", IF(Data[[#This Row],[Employee_Workload]]&lt;=65, "Medium", "High"))</f>
        <v>High</v>
      </c>
      <c r="M4" s="1">
        <v>6.1</v>
      </c>
      <c r="N4" s="1">
        <v>6.2</v>
      </c>
      <c r="O4" s="3">
        <v>131830000</v>
      </c>
    </row>
    <row r="5" spans="1:15" x14ac:dyDescent="0.25">
      <c r="A5" s="1">
        <v>2021</v>
      </c>
      <c r="B5" s="1" t="s">
        <v>24</v>
      </c>
      <c r="C5" s="1" t="s">
        <v>25</v>
      </c>
      <c r="D5" s="1" t="s">
        <v>26</v>
      </c>
      <c r="E5" s="1">
        <v>2646</v>
      </c>
      <c r="F5" s="1">
        <v>397</v>
      </c>
      <c r="G5" s="1">
        <v>55</v>
      </c>
      <c r="H5" s="7">
        <f>Data[[#This Row],[Compliance_Violations]]/Data[[#This Row],[Total_Audit_Engagements]]</f>
        <v>2.0786092214663644E-2</v>
      </c>
      <c r="I5" s="1">
        <v>97</v>
      </c>
      <c r="J5" s="1">
        <v>60</v>
      </c>
      <c r="K5" s="8">
        <f>Data[[#This Row],[Fraud_Cases_Detected]]/Data[[#This Row],[Employee_Workload]]</f>
        <v>1.6166666666666667</v>
      </c>
      <c r="L5" s="1" t="str">
        <f>IF(Data[[#This Row],[Employee_Workload]]&lt;=45, "Low", IF(Data[[#This Row],[Employee_Workload]]&lt;=65, "Medium", "High"))</f>
        <v>Medium</v>
      </c>
      <c r="M5" s="1">
        <v>5.0999999999999996</v>
      </c>
      <c r="N5" s="1">
        <v>8.6</v>
      </c>
      <c r="O5" s="3">
        <v>229110000</v>
      </c>
    </row>
    <row r="6" spans="1:15" x14ac:dyDescent="0.25">
      <c r="A6" s="1">
        <v>2020</v>
      </c>
      <c r="B6" s="1" t="s">
        <v>24</v>
      </c>
      <c r="C6" s="1" t="s">
        <v>25</v>
      </c>
      <c r="D6" s="1" t="s">
        <v>26</v>
      </c>
      <c r="E6" s="1">
        <v>2680</v>
      </c>
      <c r="F6" s="1">
        <v>216</v>
      </c>
      <c r="G6" s="1">
        <v>99</v>
      </c>
      <c r="H6" s="7">
        <f>Data[[#This Row],[Compliance_Violations]]/Data[[#This Row],[Total_Audit_Engagements]]</f>
        <v>3.6940298507462686E-2</v>
      </c>
      <c r="I6" s="1">
        <v>46</v>
      </c>
      <c r="J6" s="1">
        <v>51</v>
      </c>
      <c r="K6" s="8">
        <f>Data[[#This Row],[Fraud_Cases_Detected]]/Data[[#This Row],[Employee_Workload]]</f>
        <v>0.90196078431372551</v>
      </c>
      <c r="L6" s="1" t="str">
        <f>IF(Data[[#This Row],[Employee_Workload]]&lt;=45, "Low", IF(Data[[#This Row],[Employee_Workload]]&lt;=65, "Medium", "High"))</f>
        <v>Medium</v>
      </c>
      <c r="M6" s="1">
        <v>9.1</v>
      </c>
      <c r="N6" s="1">
        <v>6.7</v>
      </c>
      <c r="O6" s="3">
        <v>48000000</v>
      </c>
    </row>
    <row r="7" spans="1:15" x14ac:dyDescent="0.25">
      <c r="A7" s="1">
        <v>2023</v>
      </c>
      <c r="B7" s="1" t="s">
        <v>27</v>
      </c>
      <c r="C7" s="1" t="s">
        <v>29</v>
      </c>
      <c r="D7" s="1" t="s">
        <v>26</v>
      </c>
      <c r="E7" s="1">
        <v>818</v>
      </c>
      <c r="F7" s="1">
        <v>448</v>
      </c>
      <c r="G7" s="1">
        <v>10</v>
      </c>
      <c r="H7" s="7">
        <f>Data[[#This Row],[Compliance_Violations]]/Data[[#This Row],[Total_Audit_Engagements]]</f>
        <v>1.2224938875305624E-2</v>
      </c>
      <c r="I7" s="1">
        <v>30</v>
      </c>
      <c r="J7" s="1">
        <v>73</v>
      </c>
      <c r="K7" s="8">
        <f>Data[[#This Row],[Fraud_Cases_Detected]]/Data[[#This Row],[Employee_Workload]]</f>
        <v>0.41095890410958902</v>
      </c>
      <c r="L7" s="1" t="str">
        <f>IF(Data[[#This Row],[Employee_Workload]]&lt;=45, "Low", IF(Data[[#This Row],[Employee_Workload]]&lt;=65, "Medium", "High"))</f>
        <v>High</v>
      </c>
      <c r="M7" s="1">
        <v>5.3</v>
      </c>
      <c r="N7" s="1">
        <v>7.1</v>
      </c>
      <c r="O7" s="3">
        <v>438890000</v>
      </c>
    </row>
    <row r="8" spans="1:15" x14ac:dyDescent="0.25">
      <c r="A8" s="1">
        <v>2022</v>
      </c>
      <c r="B8" s="1" t="s">
        <v>27</v>
      </c>
      <c r="C8" s="1" t="s">
        <v>30</v>
      </c>
      <c r="D8" s="1" t="s">
        <v>26</v>
      </c>
      <c r="E8" s="1">
        <v>1199</v>
      </c>
      <c r="F8" s="1">
        <v>148</v>
      </c>
      <c r="G8" s="1">
        <v>114</v>
      </c>
      <c r="H8" s="7">
        <f>Data[[#This Row],[Compliance_Violations]]/Data[[#This Row],[Total_Audit_Engagements]]</f>
        <v>9.5079232693911594E-2</v>
      </c>
      <c r="I8" s="1">
        <v>11</v>
      </c>
      <c r="J8" s="1">
        <v>53</v>
      </c>
      <c r="K8" s="8">
        <f>Data[[#This Row],[Fraud_Cases_Detected]]/Data[[#This Row],[Employee_Workload]]</f>
        <v>0.20754716981132076</v>
      </c>
      <c r="L8" s="1" t="str">
        <f>IF(Data[[#This Row],[Employee_Workload]]&lt;=45, "Low", IF(Data[[#This Row],[Employee_Workload]]&lt;=65, "Medium", "High"))</f>
        <v>Medium</v>
      </c>
      <c r="M8" s="1">
        <v>9.6</v>
      </c>
      <c r="N8" s="1">
        <v>6.3</v>
      </c>
      <c r="O8" s="3">
        <v>468820000</v>
      </c>
    </row>
    <row r="9" spans="1:15" x14ac:dyDescent="0.25">
      <c r="A9" s="1">
        <v>2020</v>
      </c>
      <c r="B9" s="1" t="s">
        <v>24</v>
      </c>
      <c r="C9" s="1" t="s">
        <v>31</v>
      </c>
      <c r="D9" s="1" t="s">
        <v>28</v>
      </c>
      <c r="E9" s="1">
        <v>4092</v>
      </c>
      <c r="F9" s="1">
        <v>500</v>
      </c>
      <c r="G9" s="1">
        <v>152</v>
      </c>
      <c r="H9" s="7">
        <f>Data[[#This Row],[Compliance_Violations]]/Data[[#This Row],[Total_Audit_Engagements]]</f>
        <v>3.7145650048875857E-2</v>
      </c>
      <c r="I9" s="1">
        <v>69</v>
      </c>
      <c r="J9" s="1">
        <v>80</v>
      </c>
      <c r="K9" s="8">
        <f>Data[[#This Row],[Fraud_Cases_Detected]]/Data[[#This Row],[Employee_Workload]]</f>
        <v>0.86250000000000004</v>
      </c>
      <c r="L9" s="1" t="str">
        <f>IF(Data[[#This Row],[Employee_Workload]]&lt;=45, "Low", IF(Data[[#This Row],[Employee_Workload]]&lt;=65, "Medium", "High"))</f>
        <v>High</v>
      </c>
      <c r="M9" s="1">
        <v>9.4</v>
      </c>
      <c r="N9" s="1">
        <v>9.5</v>
      </c>
      <c r="O9" s="3">
        <v>53850000</v>
      </c>
    </row>
    <row r="10" spans="1:15" x14ac:dyDescent="0.25">
      <c r="A10" s="1">
        <v>2021</v>
      </c>
      <c r="B10" s="1" t="s">
        <v>24</v>
      </c>
      <c r="C10" s="1" t="s">
        <v>29</v>
      </c>
      <c r="D10" s="1" t="s">
        <v>26</v>
      </c>
      <c r="E10" s="1">
        <v>4156</v>
      </c>
      <c r="F10" s="1">
        <v>362</v>
      </c>
      <c r="G10" s="1">
        <v>53</v>
      </c>
      <c r="H10" s="7">
        <f>Data[[#This Row],[Compliance_Violations]]/Data[[#This Row],[Total_Audit_Engagements]]</f>
        <v>1.275264677574591E-2</v>
      </c>
      <c r="I10" s="1">
        <v>95</v>
      </c>
      <c r="J10" s="1">
        <v>56</v>
      </c>
      <c r="K10" s="8">
        <f>Data[[#This Row],[Fraud_Cases_Detected]]/Data[[#This Row],[Employee_Workload]]</f>
        <v>1.6964285714285714</v>
      </c>
      <c r="L10" s="1" t="str">
        <f>IF(Data[[#This Row],[Employee_Workload]]&lt;=45, "Low", IF(Data[[#This Row],[Employee_Workload]]&lt;=65, "Medium", "High"))</f>
        <v>Medium</v>
      </c>
      <c r="M10" s="1">
        <v>6</v>
      </c>
      <c r="N10" s="1">
        <v>6</v>
      </c>
      <c r="O10" s="3">
        <v>318790000</v>
      </c>
    </row>
    <row r="11" spans="1:15" x14ac:dyDescent="0.25">
      <c r="A11" s="1">
        <v>2021</v>
      </c>
      <c r="B11" s="1" t="s">
        <v>32</v>
      </c>
      <c r="C11" s="1" t="s">
        <v>30</v>
      </c>
      <c r="D11" s="1" t="s">
        <v>28</v>
      </c>
      <c r="E11" s="1">
        <v>2490</v>
      </c>
      <c r="F11" s="1">
        <v>74</v>
      </c>
      <c r="G11" s="1">
        <v>144</v>
      </c>
      <c r="H11" s="7">
        <f>Data[[#This Row],[Compliance_Violations]]/Data[[#This Row],[Total_Audit_Engagements]]</f>
        <v>5.7831325301204821E-2</v>
      </c>
      <c r="I11" s="1">
        <v>22</v>
      </c>
      <c r="J11" s="1">
        <v>66</v>
      </c>
      <c r="K11" s="8">
        <f>Data[[#This Row],[Fraud_Cases_Detected]]/Data[[#This Row],[Employee_Workload]]</f>
        <v>0.33333333333333331</v>
      </c>
      <c r="L11" s="1" t="str">
        <f>IF(Data[[#This Row],[Employee_Workload]]&lt;=45, "Low", IF(Data[[#This Row],[Employee_Workload]]&lt;=65, "Medium", "High"))</f>
        <v>High</v>
      </c>
      <c r="M11" s="1">
        <v>6.8</v>
      </c>
      <c r="N11" s="1">
        <v>7.3</v>
      </c>
      <c r="O11" s="3">
        <v>461330000</v>
      </c>
    </row>
    <row r="12" spans="1:15" x14ac:dyDescent="0.25">
      <c r="A12" s="1">
        <v>2020</v>
      </c>
      <c r="B12" s="1" t="s">
        <v>33</v>
      </c>
      <c r="C12" s="1" t="s">
        <v>29</v>
      </c>
      <c r="D12" s="1" t="s">
        <v>28</v>
      </c>
      <c r="E12" s="1">
        <v>1497</v>
      </c>
      <c r="F12" s="1">
        <v>330</v>
      </c>
      <c r="G12" s="1">
        <v>10</v>
      </c>
      <c r="H12" s="7">
        <f>Data[[#This Row],[Compliance_Violations]]/Data[[#This Row],[Total_Audit_Engagements]]</f>
        <v>6.6800267201068807E-3</v>
      </c>
      <c r="I12" s="1">
        <v>10</v>
      </c>
      <c r="J12" s="1">
        <v>59</v>
      </c>
      <c r="K12" s="8">
        <f>Data[[#This Row],[Fraud_Cases_Detected]]/Data[[#This Row],[Employee_Workload]]</f>
        <v>0.16949152542372881</v>
      </c>
      <c r="L12" s="1" t="str">
        <f>IF(Data[[#This Row],[Employee_Workload]]&lt;=45, "Low", IF(Data[[#This Row],[Employee_Workload]]&lt;=65, "Medium", "High"))</f>
        <v>Medium</v>
      </c>
      <c r="M12" s="1">
        <v>8.3000000000000007</v>
      </c>
      <c r="N12" s="1">
        <v>8</v>
      </c>
      <c r="O12" s="3">
        <v>258490000</v>
      </c>
    </row>
    <row r="13" spans="1:15" x14ac:dyDescent="0.25">
      <c r="A13" s="1">
        <v>2024</v>
      </c>
      <c r="B13" s="1" t="s">
        <v>32</v>
      </c>
      <c r="C13" s="1" t="s">
        <v>25</v>
      </c>
      <c r="D13" s="1" t="s">
        <v>28</v>
      </c>
      <c r="E13" s="1">
        <v>2712</v>
      </c>
      <c r="F13" s="1">
        <v>408</v>
      </c>
      <c r="G13" s="1">
        <v>186</v>
      </c>
      <c r="H13" s="7">
        <f>Data[[#This Row],[Compliance_Violations]]/Data[[#This Row],[Total_Audit_Engagements]]</f>
        <v>6.8584070796460173E-2</v>
      </c>
      <c r="I13" s="1">
        <v>61</v>
      </c>
      <c r="J13" s="1">
        <v>78</v>
      </c>
      <c r="K13" s="8">
        <f>Data[[#This Row],[Fraud_Cases_Detected]]/Data[[#This Row],[Employee_Workload]]</f>
        <v>0.78205128205128205</v>
      </c>
      <c r="L13" s="1" t="str">
        <f>IF(Data[[#This Row],[Employee_Workload]]&lt;=45, "Low", IF(Data[[#This Row],[Employee_Workload]]&lt;=65, "Medium", "High"))</f>
        <v>High</v>
      </c>
      <c r="M13" s="1">
        <v>9.5</v>
      </c>
      <c r="N13" s="1">
        <v>8.9</v>
      </c>
      <c r="O13" s="3">
        <v>224920000</v>
      </c>
    </row>
    <row r="14" spans="1:15" x14ac:dyDescent="0.25">
      <c r="A14" s="1">
        <v>2024</v>
      </c>
      <c r="B14" s="1" t="s">
        <v>27</v>
      </c>
      <c r="C14" s="1" t="s">
        <v>25</v>
      </c>
      <c r="D14" s="1" t="s">
        <v>26</v>
      </c>
      <c r="E14" s="1">
        <v>2885</v>
      </c>
      <c r="F14" s="1">
        <v>469</v>
      </c>
      <c r="G14" s="1">
        <v>125</v>
      </c>
      <c r="H14" s="7">
        <f>Data[[#This Row],[Compliance_Violations]]/Data[[#This Row],[Total_Audit_Engagements]]</f>
        <v>4.3327556325823226E-2</v>
      </c>
      <c r="I14" s="1">
        <v>92</v>
      </c>
      <c r="J14" s="1">
        <v>58</v>
      </c>
      <c r="K14" s="8">
        <f>Data[[#This Row],[Fraud_Cases_Detected]]/Data[[#This Row],[Employee_Workload]]</f>
        <v>1.5862068965517242</v>
      </c>
      <c r="L14" s="1" t="str">
        <f>IF(Data[[#This Row],[Employee_Workload]]&lt;=45, "Low", IF(Data[[#This Row],[Employee_Workload]]&lt;=65, "Medium", "High"))</f>
        <v>Medium</v>
      </c>
      <c r="M14" s="1">
        <v>9.3000000000000007</v>
      </c>
      <c r="N14" s="1">
        <v>7.7</v>
      </c>
      <c r="O14" s="3">
        <v>418490000</v>
      </c>
    </row>
    <row r="15" spans="1:15" x14ac:dyDescent="0.25">
      <c r="A15" s="1">
        <v>2023</v>
      </c>
      <c r="B15" s="1" t="s">
        <v>24</v>
      </c>
      <c r="C15" s="1" t="s">
        <v>30</v>
      </c>
      <c r="D15" s="1" t="s">
        <v>28</v>
      </c>
      <c r="E15" s="1">
        <v>2267</v>
      </c>
      <c r="F15" s="1">
        <v>164</v>
      </c>
      <c r="G15" s="1">
        <v>125</v>
      </c>
      <c r="H15" s="7">
        <f>Data[[#This Row],[Compliance_Violations]]/Data[[#This Row],[Total_Audit_Engagements]]</f>
        <v>5.5138950154389063E-2</v>
      </c>
      <c r="I15" s="1">
        <v>42</v>
      </c>
      <c r="J15" s="1">
        <v>58</v>
      </c>
      <c r="K15" s="8">
        <f>Data[[#This Row],[Fraud_Cases_Detected]]/Data[[#This Row],[Employee_Workload]]</f>
        <v>0.72413793103448276</v>
      </c>
      <c r="L15" s="1" t="str">
        <f>IF(Data[[#This Row],[Employee_Workload]]&lt;=45, "Low", IF(Data[[#This Row],[Employee_Workload]]&lt;=65, "Medium", "High"))</f>
        <v>Medium</v>
      </c>
      <c r="M15" s="1">
        <v>7.3</v>
      </c>
      <c r="N15" s="1">
        <v>7.7</v>
      </c>
      <c r="O15" s="3">
        <v>445620000</v>
      </c>
    </row>
    <row r="16" spans="1:15" x14ac:dyDescent="0.25">
      <c r="A16" s="1">
        <v>2020</v>
      </c>
      <c r="B16" s="1" t="s">
        <v>24</v>
      </c>
      <c r="C16" s="1" t="s">
        <v>30</v>
      </c>
      <c r="D16" s="1" t="s">
        <v>28</v>
      </c>
      <c r="E16" s="1">
        <v>2333</v>
      </c>
      <c r="F16" s="1">
        <v>358</v>
      </c>
      <c r="G16" s="1">
        <v>48</v>
      </c>
      <c r="H16" s="7">
        <f>Data[[#This Row],[Compliance_Violations]]/Data[[#This Row],[Total_Audit_Engagements]]</f>
        <v>2.0574367766823833E-2</v>
      </c>
      <c r="I16" s="1">
        <v>17</v>
      </c>
      <c r="J16" s="1">
        <v>40</v>
      </c>
      <c r="K16" s="8">
        <f>Data[[#This Row],[Fraud_Cases_Detected]]/Data[[#This Row],[Employee_Workload]]</f>
        <v>0.42499999999999999</v>
      </c>
      <c r="L16" s="1" t="str">
        <f>IF(Data[[#This Row],[Employee_Workload]]&lt;=45, "Low", IF(Data[[#This Row],[Employee_Workload]]&lt;=65, "Medium", "High"))</f>
        <v>Low</v>
      </c>
      <c r="M16" s="1">
        <v>10</v>
      </c>
      <c r="N16" s="1">
        <v>8.3000000000000007</v>
      </c>
      <c r="O16" s="3">
        <v>388500000</v>
      </c>
    </row>
    <row r="17" spans="1:15" x14ac:dyDescent="0.25">
      <c r="A17" s="1">
        <v>2021</v>
      </c>
      <c r="B17" s="1" t="s">
        <v>27</v>
      </c>
      <c r="C17" s="1" t="s">
        <v>29</v>
      </c>
      <c r="D17" s="1" t="s">
        <v>28</v>
      </c>
      <c r="E17" s="1">
        <v>3490</v>
      </c>
      <c r="F17" s="1">
        <v>127</v>
      </c>
      <c r="G17" s="1">
        <v>17</v>
      </c>
      <c r="H17" s="7">
        <f>Data[[#This Row],[Compliance_Violations]]/Data[[#This Row],[Total_Audit_Engagements]]</f>
        <v>4.8710601719197709E-3</v>
      </c>
      <c r="I17" s="1">
        <v>62</v>
      </c>
      <c r="J17" s="1">
        <v>52</v>
      </c>
      <c r="K17" s="8">
        <f>Data[[#This Row],[Fraud_Cases_Detected]]/Data[[#This Row],[Employee_Workload]]</f>
        <v>1.1923076923076923</v>
      </c>
      <c r="L17" s="1" t="str">
        <f>IF(Data[[#This Row],[Employee_Workload]]&lt;=45, "Low", IF(Data[[#This Row],[Employee_Workload]]&lt;=65, "Medium", "High"))</f>
        <v>Medium</v>
      </c>
      <c r="M17" s="1">
        <v>8.4</v>
      </c>
      <c r="N17" s="1">
        <v>7.5</v>
      </c>
      <c r="O17" s="3">
        <v>495190000</v>
      </c>
    </row>
    <row r="18" spans="1:15" x14ac:dyDescent="0.25">
      <c r="A18" s="1">
        <v>2020</v>
      </c>
      <c r="B18" s="1" t="s">
        <v>32</v>
      </c>
      <c r="C18" s="1" t="s">
        <v>31</v>
      </c>
      <c r="D18" s="1" t="s">
        <v>28</v>
      </c>
      <c r="E18" s="1">
        <v>3264</v>
      </c>
      <c r="F18" s="1">
        <v>435</v>
      </c>
      <c r="G18" s="1">
        <v>82</v>
      </c>
      <c r="H18" s="7">
        <f>Data[[#This Row],[Compliance_Violations]]/Data[[#This Row],[Total_Audit_Engagements]]</f>
        <v>2.5122549019607844E-2</v>
      </c>
      <c r="I18" s="1">
        <v>18</v>
      </c>
      <c r="J18" s="1">
        <v>76</v>
      </c>
      <c r="K18" s="8">
        <f>Data[[#This Row],[Fraud_Cases_Detected]]/Data[[#This Row],[Employee_Workload]]</f>
        <v>0.23684210526315788</v>
      </c>
      <c r="L18" s="1" t="str">
        <f>IF(Data[[#This Row],[Employee_Workload]]&lt;=45, "Low", IF(Data[[#This Row],[Employee_Workload]]&lt;=65, "Medium", "High"))</f>
        <v>High</v>
      </c>
      <c r="M18" s="1">
        <v>5.3</v>
      </c>
      <c r="N18" s="1">
        <v>7.1</v>
      </c>
      <c r="O18" s="3">
        <v>61170000</v>
      </c>
    </row>
    <row r="19" spans="1:15" x14ac:dyDescent="0.25">
      <c r="A19" s="1">
        <v>2022</v>
      </c>
      <c r="B19" s="1" t="s">
        <v>27</v>
      </c>
      <c r="C19" s="1" t="s">
        <v>30</v>
      </c>
      <c r="D19" s="1" t="s">
        <v>26</v>
      </c>
      <c r="E19" s="1">
        <v>4813</v>
      </c>
      <c r="F19" s="1">
        <v>249</v>
      </c>
      <c r="G19" s="1">
        <v>81</v>
      </c>
      <c r="H19" s="7">
        <f>Data[[#This Row],[Compliance_Violations]]/Data[[#This Row],[Total_Audit_Engagements]]</f>
        <v>1.6829420319966756E-2</v>
      </c>
      <c r="I19" s="1">
        <v>64</v>
      </c>
      <c r="J19" s="1">
        <v>67</v>
      </c>
      <c r="K19" s="8">
        <f>Data[[#This Row],[Fraud_Cases_Detected]]/Data[[#This Row],[Employee_Workload]]</f>
        <v>0.95522388059701491</v>
      </c>
      <c r="L19" s="1" t="str">
        <f>IF(Data[[#This Row],[Employee_Workload]]&lt;=45, "Low", IF(Data[[#This Row],[Employee_Workload]]&lt;=65, "Medium", "High"))</f>
        <v>High</v>
      </c>
      <c r="M19" s="1">
        <v>9.8000000000000007</v>
      </c>
      <c r="N19" s="1">
        <v>7.5</v>
      </c>
      <c r="O19" s="3">
        <v>182900000</v>
      </c>
    </row>
    <row r="20" spans="1:15" x14ac:dyDescent="0.25">
      <c r="A20" s="1">
        <v>2022</v>
      </c>
      <c r="B20" s="1" t="s">
        <v>27</v>
      </c>
      <c r="C20" s="1" t="s">
        <v>25</v>
      </c>
      <c r="D20" s="1" t="s">
        <v>26</v>
      </c>
      <c r="E20" s="1">
        <v>2804</v>
      </c>
      <c r="F20" s="1">
        <v>273</v>
      </c>
      <c r="G20" s="1">
        <v>87</v>
      </c>
      <c r="H20" s="7">
        <f>Data[[#This Row],[Compliance_Violations]]/Data[[#This Row],[Total_Audit_Engagements]]</f>
        <v>3.1027104136947217E-2</v>
      </c>
      <c r="I20" s="1">
        <v>36</v>
      </c>
      <c r="J20" s="1">
        <v>46</v>
      </c>
      <c r="K20" s="8">
        <f>Data[[#This Row],[Fraud_Cases_Detected]]/Data[[#This Row],[Employee_Workload]]</f>
        <v>0.78260869565217395</v>
      </c>
      <c r="L20" s="1" t="str">
        <f>IF(Data[[#This Row],[Employee_Workload]]&lt;=45, "Low", IF(Data[[#This Row],[Employee_Workload]]&lt;=65, "Medium", "High"))</f>
        <v>Medium</v>
      </c>
      <c r="M20" s="1">
        <v>6.6</v>
      </c>
      <c r="N20" s="1">
        <v>9.5</v>
      </c>
      <c r="O20" s="3">
        <v>243850000</v>
      </c>
    </row>
    <row r="21" spans="1:15" x14ac:dyDescent="0.25">
      <c r="A21" s="1">
        <v>2021</v>
      </c>
      <c r="B21" s="1" t="s">
        <v>33</v>
      </c>
      <c r="C21" s="1" t="s">
        <v>31</v>
      </c>
      <c r="D21" s="1" t="s">
        <v>28</v>
      </c>
      <c r="E21" s="1">
        <v>2239</v>
      </c>
      <c r="F21" s="1">
        <v>78</v>
      </c>
      <c r="G21" s="1">
        <v>30</v>
      </c>
      <c r="H21" s="7">
        <f>Data[[#This Row],[Compliance_Violations]]/Data[[#This Row],[Total_Audit_Engagements]]</f>
        <v>1.3398838767306834E-2</v>
      </c>
      <c r="I21" s="1">
        <v>14</v>
      </c>
      <c r="J21" s="1">
        <v>53</v>
      </c>
      <c r="K21" s="8">
        <f>Data[[#This Row],[Fraud_Cases_Detected]]/Data[[#This Row],[Employee_Workload]]</f>
        <v>0.26415094339622641</v>
      </c>
      <c r="L21" s="1" t="str">
        <f>IF(Data[[#This Row],[Employee_Workload]]&lt;=45, "Low", IF(Data[[#This Row],[Employee_Workload]]&lt;=65, "Medium", "High"))</f>
        <v>Medium</v>
      </c>
      <c r="M21" s="1">
        <v>8</v>
      </c>
      <c r="N21" s="1">
        <v>7.6</v>
      </c>
      <c r="O21" s="3">
        <v>129980000</v>
      </c>
    </row>
    <row r="22" spans="1:15" x14ac:dyDescent="0.25">
      <c r="A22" s="1">
        <v>2024</v>
      </c>
      <c r="B22" s="1" t="s">
        <v>27</v>
      </c>
      <c r="C22" s="1" t="s">
        <v>30</v>
      </c>
      <c r="D22" s="1" t="s">
        <v>26</v>
      </c>
      <c r="E22" s="1">
        <v>1581</v>
      </c>
      <c r="F22" s="1">
        <v>247</v>
      </c>
      <c r="G22" s="1">
        <v>181</v>
      </c>
      <c r="H22" s="7">
        <f>Data[[#This Row],[Compliance_Violations]]/Data[[#This Row],[Total_Audit_Engagements]]</f>
        <v>0.11448450347881088</v>
      </c>
      <c r="I22" s="1">
        <v>72</v>
      </c>
      <c r="J22" s="1">
        <v>56</v>
      </c>
      <c r="K22" s="8">
        <f>Data[[#This Row],[Fraud_Cases_Detected]]/Data[[#This Row],[Employee_Workload]]</f>
        <v>1.2857142857142858</v>
      </c>
      <c r="L22" s="1" t="str">
        <f>IF(Data[[#This Row],[Employee_Workload]]&lt;=45, "Low", IF(Data[[#This Row],[Employee_Workload]]&lt;=65, "Medium", "High"))</f>
        <v>Medium</v>
      </c>
      <c r="M22" s="1">
        <v>5.6</v>
      </c>
      <c r="N22" s="1">
        <v>7.9</v>
      </c>
      <c r="O22" s="3">
        <v>221420000</v>
      </c>
    </row>
    <row r="23" spans="1:15" x14ac:dyDescent="0.25">
      <c r="A23" s="1">
        <v>2025</v>
      </c>
      <c r="B23" s="1" t="s">
        <v>27</v>
      </c>
      <c r="C23" s="1" t="s">
        <v>29</v>
      </c>
      <c r="D23" s="1" t="s">
        <v>28</v>
      </c>
      <c r="E23" s="1">
        <v>760</v>
      </c>
      <c r="F23" s="1">
        <v>406</v>
      </c>
      <c r="G23" s="1">
        <v>65</v>
      </c>
      <c r="H23" s="7">
        <f>Data[[#This Row],[Compliance_Violations]]/Data[[#This Row],[Total_Audit_Engagements]]</f>
        <v>8.5526315789473686E-2</v>
      </c>
      <c r="I23" s="1">
        <v>69</v>
      </c>
      <c r="J23" s="1">
        <v>40</v>
      </c>
      <c r="K23" s="8">
        <f>Data[[#This Row],[Fraud_Cases_Detected]]/Data[[#This Row],[Employee_Workload]]</f>
        <v>1.7250000000000001</v>
      </c>
      <c r="L23" s="1" t="str">
        <f>IF(Data[[#This Row],[Employee_Workload]]&lt;=45, "Low", IF(Data[[#This Row],[Employee_Workload]]&lt;=65, "Medium", "High"))</f>
        <v>Low</v>
      </c>
      <c r="M23" s="1">
        <v>5.0999999999999996</v>
      </c>
      <c r="N23" s="1">
        <v>7.5</v>
      </c>
      <c r="O23" s="3">
        <v>140290000</v>
      </c>
    </row>
    <row r="24" spans="1:15" x14ac:dyDescent="0.25">
      <c r="A24" s="1">
        <v>2023</v>
      </c>
      <c r="B24" s="1" t="s">
        <v>24</v>
      </c>
      <c r="C24" s="1" t="s">
        <v>30</v>
      </c>
      <c r="D24" s="1" t="s">
        <v>28</v>
      </c>
      <c r="E24" s="1">
        <v>2238</v>
      </c>
      <c r="F24" s="1">
        <v>101</v>
      </c>
      <c r="G24" s="1">
        <v>184</v>
      </c>
      <c r="H24" s="7">
        <f>Data[[#This Row],[Compliance_Violations]]/Data[[#This Row],[Total_Audit_Engagements]]</f>
        <v>8.2216264521894553E-2</v>
      </c>
      <c r="I24" s="1">
        <v>79</v>
      </c>
      <c r="J24" s="1">
        <v>65</v>
      </c>
      <c r="K24" s="8">
        <f>Data[[#This Row],[Fraud_Cases_Detected]]/Data[[#This Row],[Employee_Workload]]</f>
        <v>1.2153846153846153</v>
      </c>
      <c r="L24" s="1" t="str">
        <f>IF(Data[[#This Row],[Employee_Workload]]&lt;=45, "Low", IF(Data[[#This Row],[Employee_Workload]]&lt;=65, "Medium", "High"))</f>
        <v>Medium</v>
      </c>
      <c r="M24" s="1">
        <v>7</v>
      </c>
      <c r="N24" s="1">
        <v>7.1</v>
      </c>
      <c r="O24" s="3">
        <v>216840000</v>
      </c>
    </row>
    <row r="25" spans="1:15" x14ac:dyDescent="0.25">
      <c r="A25" s="1">
        <v>2024</v>
      </c>
      <c r="B25" s="1" t="s">
        <v>32</v>
      </c>
      <c r="C25" s="1" t="s">
        <v>25</v>
      </c>
      <c r="D25" s="1" t="s">
        <v>28</v>
      </c>
      <c r="E25" s="1">
        <v>1760</v>
      </c>
      <c r="F25" s="1">
        <v>415</v>
      </c>
      <c r="G25" s="1">
        <v>183</v>
      </c>
      <c r="H25" s="7">
        <f>Data[[#This Row],[Compliance_Violations]]/Data[[#This Row],[Total_Audit_Engagements]]</f>
        <v>0.10397727272727272</v>
      </c>
      <c r="I25" s="1">
        <v>11</v>
      </c>
      <c r="J25" s="1">
        <v>53</v>
      </c>
      <c r="K25" s="8">
        <f>Data[[#This Row],[Fraud_Cases_Detected]]/Data[[#This Row],[Employee_Workload]]</f>
        <v>0.20754716981132076</v>
      </c>
      <c r="L25" s="1" t="str">
        <f>IF(Data[[#This Row],[Employee_Workload]]&lt;=45, "Low", IF(Data[[#This Row],[Employee_Workload]]&lt;=65, "Medium", "High"))</f>
        <v>Medium</v>
      </c>
      <c r="M25" s="1">
        <v>8.1999999999999993</v>
      </c>
      <c r="N25" s="1">
        <v>8.4</v>
      </c>
      <c r="O25" s="3">
        <v>291000000</v>
      </c>
    </row>
    <row r="26" spans="1:15" x14ac:dyDescent="0.25">
      <c r="A26" s="1">
        <v>2024</v>
      </c>
      <c r="B26" s="1" t="s">
        <v>24</v>
      </c>
      <c r="C26" s="1" t="s">
        <v>25</v>
      </c>
      <c r="D26" s="1" t="s">
        <v>28</v>
      </c>
      <c r="E26" s="1">
        <v>4103</v>
      </c>
      <c r="F26" s="1">
        <v>423</v>
      </c>
      <c r="G26" s="1">
        <v>179</v>
      </c>
      <c r="H26" s="7">
        <f>Data[[#This Row],[Compliance_Violations]]/Data[[#This Row],[Total_Audit_Engagements]]</f>
        <v>4.3626614672191082E-2</v>
      </c>
      <c r="I26" s="1">
        <v>30</v>
      </c>
      <c r="J26" s="1">
        <v>41</v>
      </c>
      <c r="K26" s="8">
        <f>Data[[#This Row],[Fraud_Cases_Detected]]/Data[[#This Row],[Employee_Workload]]</f>
        <v>0.73170731707317072</v>
      </c>
      <c r="L26" s="1" t="str">
        <f>IF(Data[[#This Row],[Employee_Workload]]&lt;=45, "Low", IF(Data[[#This Row],[Employee_Workload]]&lt;=65, "Medium", "High"))</f>
        <v>Low</v>
      </c>
      <c r="M26" s="1">
        <v>6.7</v>
      </c>
      <c r="N26" s="1">
        <v>5</v>
      </c>
      <c r="O26" s="3">
        <v>225420000</v>
      </c>
    </row>
    <row r="27" spans="1:15" x14ac:dyDescent="0.25">
      <c r="A27" s="1">
        <v>2025</v>
      </c>
      <c r="B27" s="1" t="s">
        <v>24</v>
      </c>
      <c r="C27" s="1" t="s">
        <v>31</v>
      </c>
      <c r="D27" s="1" t="s">
        <v>28</v>
      </c>
      <c r="E27" s="1">
        <v>4470</v>
      </c>
      <c r="F27" s="1">
        <v>63</v>
      </c>
      <c r="G27" s="1">
        <v>49</v>
      </c>
      <c r="H27" s="7">
        <f>Data[[#This Row],[Compliance_Violations]]/Data[[#This Row],[Total_Audit_Engagements]]</f>
        <v>1.0961968680089485E-2</v>
      </c>
      <c r="I27" s="1">
        <v>54</v>
      </c>
      <c r="J27" s="1">
        <v>43</v>
      </c>
      <c r="K27" s="8">
        <f>Data[[#This Row],[Fraud_Cases_Detected]]/Data[[#This Row],[Employee_Workload]]</f>
        <v>1.2558139534883721</v>
      </c>
      <c r="L27" s="1" t="str">
        <f>IF(Data[[#This Row],[Employee_Workload]]&lt;=45, "Low", IF(Data[[#This Row],[Employee_Workload]]&lt;=65, "Medium", "High"))</f>
        <v>Low</v>
      </c>
      <c r="M27" s="1">
        <v>5.8</v>
      </c>
      <c r="N27" s="1">
        <v>5.6</v>
      </c>
      <c r="O27" s="3">
        <v>213920000</v>
      </c>
    </row>
    <row r="28" spans="1:15" x14ac:dyDescent="0.25">
      <c r="A28" s="1">
        <v>2020</v>
      </c>
      <c r="B28" s="1" t="s">
        <v>33</v>
      </c>
      <c r="C28" s="1" t="s">
        <v>31</v>
      </c>
      <c r="D28" s="1" t="s">
        <v>26</v>
      </c>
      <c r="E28" s="1">
        <v>2515</v>
      </c>
      <c r="F28" s="1">
        <v>362</v>
      </c>
      <c r="G28" s="1">
        <v>146</v>
      </c>
      <c r="H28" s="7">
        <f>Data[[#This Row],[Compliance_Violations]]/Data[[#This Row],[Total_Audit_Engagements]]</f>
        <v>5.805168986083499E-2</v>
      </c>
      <c r="I28" s="1">
        <v>94</v>
      </c>
      <c r="J28" s="1">
        <v>63</v>
      </c>
      <c r="K28" s="8">
        <f>Data[[#This Row],[Fraud_Cases_Detected]]/Data[[#This Row],[Employee_Workload]]</f>
        <v>1.4920634920634921</v>
      </c>
      <c r="L28" s="1" t="str">
        <f>IF(Data[[#This Row],[Employee_Workload]]&lt;=45, "Low", IF(Data[[#This Row],[Employee_Workload]]&lt;=65, "Medium", "High"))</f>
        <v>Medium</v>
      </c>
      <c r="M28" s="1">
        <v>5.8</v>
      </c>
      <c r="N28" s="1">
        <v>5</v>
      </c>
      <c r="O28" s="3">
        <v>447140000</v>
      </c>
    </row>
    <row r="29" spans="1:15" x14ac:dyDescent="0.25">
      <c r="A29" s="1">
        <v>2025</v>
      </c>
      <c r="B29" s="1" t="s">
        <v>33</v>
      </c>
      <c r="C29" s="1" t="s">
        <v>30</v>
      </c>
      <c r="D29" s="1" t="s">
        <v>26</v>
      </c>
      <c r="E29" s="1">
        <v>3852</v>
      </c>
      <c r="F29" s="1">
        <v>317</v>
      </c>
      <c r="G29" s="1">
        <v>65</v>
      </c>
      <c r="H29" s="7">
        <f>Data[[#This Row],[Compliance_Violations]]/Data[[#This Row],[Total_Audit_Engagements]]</f>
        <v>1.687435098650052E-2</v>
      </c>
      <c r="I29" s="1">
        <v>12</v>
      </c>
      <c r="J29" s="1">
        <v>78</v>
      </c>
      <c r="K29" s="8">
        <f>Data[[#This Row],[Fraud_Cases_Detected]]/Data[[#This Row],[Employee_Workload]]</f>
        <v>0.15384615384615385</v>
      </c>
      <c r="L29" s="1" t="str">
        <f>IF(Data[[#This Row],[Employee_Workload]]&lt;=45, "Low", IF(Data[[#This Row],[Employee_Workload]]&lt;=65, "Medium", "High"))</f>
        <v>High</v>
      </c>
      <c r="M29" s="1">
        <v>6.2</v>
      </c>
      <c r="N29" s="1">
        <v>7.3</v>
      </c>
      <c r="O29" s="3">
        <v>294380000</v>
      </c>
    </row>
    <row r="30" spans="1:15" x14ac:dyDescent="0.25">
      <c r="A30" s="1">
        <v>2025</v>
      </c>
      <c r="B30" s="1" t="s">
        <v>32</v>
      </c>
      <c r="C30" s="1" t="s">
        <v>29</v>
      </c>
      <c r="D30" s="1" t="s">
        <v>28</v>
      </c>
      <c r="E30" s="1">
        <v>4773</v>
      </c>
      <c r="F30" s="1">
        <v>497</v>
      </c>
      <c r="G30" s="1">
        <v>186</v>
      </c>
      <c r="H30" s="7">
        <f>Data[[#This Row],[Compliance_Violations]]/Data[[#This Row],[Total_Audit_Engagements]]</f>
        <v>3.8969201759899437E-2</v>
      </c>
      <c r="I30" s="1">
        <v>56</v>
      </c>
      <c r="J30" s="1">
        <v>44</v>
      </c>
      <c r="K30" s="8">
        <f>Data[[#This Row],[Fraud_Cases_Detected]]/Data[[#This Row],[Employee_Workload]]</f>
        <v>1.2727272727272727</v>
      </c>
      <c r="L30" s="1" t="str">
        <f>IF(Data[[#This Row],[Employee_Workload]]&lt;=45, "Low", IF(Data[[#This Row],[Employee_Workload]]&lt;=65, "Medium", "High"))</f>
        <v>Low</v>
      </c>
      <c r="M30" s="1">
        <v>9.4</v>
      </c>
      <c r="N30" s="1">
        <v>6.1</v>
      </c>
      <c r="O30" s="3">
        <v>197870000</v>
      </c>
    </row>
    <row r="31" spans="1:15" x14ac:dyDescent="0.25">
      <c r="A31" s="1">
        <v>2025</v>
      </c>
      <c r="B31" s="1" t="s">
        <v>32</v>
      </c>
      <c r="C31" s="1" t="s">
        <v>30</v>
      </c>
      <c r="D31" s="1" t="s">
        <v>26</v>
      </c>
      <c r="E31" s="1">
        <v>3571</v>
      </c>
      <c r="F31" s="1">
        <v>86</v>
      </c>
      <c r="G31" s="1">
        <v>181</v>
      </c>
      <c r="H31" s="7">
        <f>Data[[#This Row],[Compliance_Violations]]/Data[[#This Row],[Total_Audit_Engagements]]</f>
        <v>5.0686082329879582E-2</v>
      </c>
      <c r="I31" s="1">
        <v>90</v>
      </c>
      <c r="J31" s="1">
        <v>58</v>
      </c>
      <c r="K31" s="8">
        <f>Data[[#This Row],[Fraud_Cases_Detected]]/Data[[#This Row],[Employee_Workload]]</f>
        <v>1.5517241379310345</v>
      </c>
      <c r="L31" s="1" t="str">
        <f>IF(Data[[#This Row],[Employee_Workload]]&lt;=45, "Low", IF(Data[[#This Row],[Employee_Workload]]&lt;=65, "Medium", "High"))</f>
        <v>Medium</v>
      </c>
      <c r="M31" s="1">
        <v>7.4</v>
      </c>
      <c r="N31" s="1">
        <v>7.6</v>
      </c>
      <c r="O31" s="3">
        <v>474210000</v>
      </c>
    </row>
    <row r="32" spans="1:15" x14ac:dyDescent="0.25">
      <c r="A32" s="1">
        <v>2020</v>
      </c>
      <c r="B32" s="1" t="s">
        <v>27</v>
      </c>
      <c r="C32" s="1" t="s">
        <v>25</v>
      </c>
      <c r="D32" s="1" t="s">
        <v>26</v>
      </c>
      <c r="E32" s="1">
        <v>2030</v>
      </c>
      <c r="F32" s="1">
        <v>200</v>
      </c>
      <c r="G32" s="1">
        <v>169</v>
      </c>
      <c r="H32" s="7">
        <f>Data[[#This Row],[Compliance_Violations]]/Data[[#This Row],[Total_Audit_Engagements]]</f>
        <v>8.32512315270936E-2</v>
      </c>
      <c r="I32" s="1">
        <v>18</v>
      </c>
      <c r="J32" s="1">
        <v>76</v>
      </c>
      <c r="K32" s="8">
        <f>Data[[#This Row],[Fraud_Cases_Detected]]/Data[[#This Row],[Employee_Workload]]</f>
        <v>0.23684210526315788</v>
      </c>
      <c r="L32" s="1" t="str">
        <f>IF(Data[[#This Row],[Employee_Workload]]&lt;=45, "Low", IF(Data[[#This Row],[Employee_Workload]]&lt;=65, "Medium", "High"))</f>
        <v>High</v>
      </c>
      <c r="M32" s="1">
        <v>5.2</v>
      </c>
      <c r="N32" s="1">
        <v>9.3000000000000007</v>
      </c>
      <c r="O32" s="3">
        <v>104980000</v>
      </c>
    </row>
    <row r="33" spans="1:15" x14ac:dyDescent="0.25">
      <c r="A33" s="1">
        <v>2020</v>
      </c>
      <c r="B33" s="1" t="s">
        <v>32</v>
      </c>
      <c r="C33" s="1" t="s">
        <v>25</v>
      </c>
      <c r="D33" s="1" t="s">
        <v>28</v>
      </c>
      <c r="E33" s="1">
        <v>811</v>
      </c>
      <c r="F33" s="1">
        <v>398</v>
      </c>
      <c r="G33" s="1">
        <v>94</v>
      </c>
      <c r="H33" s="7">
        <f>Data[[#This Row],[Compliance_Violations]]/Data[[#This Row],[Total_Audit_Engagements]]</f>
        <v>0.11590628853267571</v>
      </c>
      <c r="I33" s="1">
        <v>94</v>
      </c>
      <c r="J33" s="1">
        <v>66</v>
      </c>
      <c r="K33" s="8">
        <f>Data[[#This Row],[Fraud_Cases_Detected]]/Data[[#This Row],[Employee_Workload]]</f>
        <v>1.4242424242424243</v>
      </c>
      <c r="L33" s="1" t="str">
        <f>IF(Data[[#This Row],[Employee_Workload]]&lt;=45, "Low", IF(Data[[#This Row],[Employee_Workload]]&lt;=65, "Medium", "High"))</f>
        <v>High</v>
      </c>
      <c r="M33" s="1">
        <v>7.2</v>
      </c>
      <c r="N33" s="1">
        <v>9.6</v>
      </c>
      <c r="O33" s="3">
        <v>438450000</v>
      </c>
    </row>
    <row r="34" spans="1:15" x14ac:dyDescent="0.25">
      <c r="A34" s="1">
        <v>2023</v>
      </c>
      <c r="B34" s="1" t="s">
        <v>32</v>
      </c>
      <c r="C34" s="1" t="s">
        <v>31</v>
      </c>
      <c r="D34" s="1" t="s">
        <v>26</v>
      </c>
      <c r="E34" s="1">
        <v>1727</v>
      </c>
      <c r="F34" s="1">
        <v>59</v>
      </c>
      <c r="G34" s="1">
        <v>184</v>
      </c>
      <c r="H34" s="7">
        <f>Data[[#This Row],[Compliance_Violations]]/Data[[#This Row],[Total_Audit_Engagements]]</f>
        <v>0.10654313839027214</v>
      </c>
      <c r="I34" s="1">
        <v>20</v>
      </c>
      <c r="J34" s="1">
        <v>50</v>
      </c>
      <c r="K34" s="8">
        <f>Data[[#This Row],[Fraud_Cases_Detected]]/Data[[#This Row],[Employee_Workload]]</f>
        <v>0.4</v>
      </c>
      <c r="L34" s="1" t="str">
        <f>IF(Data[[#This Row],[Employee_Workload]]&lt;=45, "Low", IF(Data[[#This Row],[Employee_Workload]]&lt;=65, "Medium", "High"))</f>
        <v>Medium</v>
      </c>
      <c r="M34" s="1">
        <v>6.9</v>
      </c>
      <c r="N34" s="1">
        <v>8.8000000000000007</v>
      </c>
      <c r="O34" s="3">
        <v>249680000</v>
      </c>
    </row>
    <row r="35" spans="1:15" x14ac:dyDescent="0.25">
      <c r="A35" s="1">
        <v>2024</v>
      </c>
      <c r="B35" s="1" t="s">
        <v>32</v>
      </c>
      <c r="C35" s="1" t="s">
        <v>31</v>
      </c>
      <c r="D35" s="1" t="s">
        <v>26</v>
      </c>
      <c r="E35" s="1">
        <v>4481</v>
      </c>
      <c r="F35" s="1">
        <v>258</v>
      </c>
      <c r="G35" s="1">
        <v>136</v>
      </c>
      <c r="H35" s="7">
        <f>Data[[#This Row],[Compliance_Violations]]/Data[[#This Row],[Total_Audit_Engagements]]</f>
        <v>3.0350368221379157E-2</v>
      </c>
      <c r="I35" s="1">
        <v>32</v>
      </c>
      <c r="J35" s="1">
        <v>53</v>
      </c>
      <c r="K35" s="8">
        <f>Data[[#This Row],[Fraud_Cases_Detected]]/Data[[#This Row],[Employee_Workload]]</f>
        <v>0.60377358490566035</v>
      </c>
      <c r="L35" s="1" t="str">
        <f>IF(Data[[#This Row],[Employee_Workload]]&lt;=45, "Low", IF(Data[[#This Row],[Employee_Workload]]&lt;=65, "Medium", "High"))</f>
        <v>Medium</v>
      </c>
      <c r="M35" s="1">
        <v>8.9</v>
      </c>
      <c r="N35" s="1">
        <v>5.0999999999999996</v>
      </c>
      <c r="O35" s="3">
        <v>156760000</v>
      </c>
    </row>
    <row r="36" spans="1:15" x14ac:dyDescent="0.25">
      <c r="A36" s="1">
        <v>2022</v>
      </c>
      <c r="B36" s="1" t="s">
        <v>27</v>
      </c>
      <c r="C36" s="1" t="s">
        <v>25</v>
      </c>
      <c r="D36" s="1" t="s">
        <v>26</v>
      </c>
      <c r="E36" s="1">
        <v>4287</v>
      </c>
      <c r="F36" s="1">
        <v>158</v>
      </c>
      <c r="G36" s="1">
        <v>73</v>
      </c>
      <c r="H36" s="7">
        <f>Data[[#This Row],[Compliance_Violations]]/Data[[#This Row],[Total_Audit_Engagements]]</f>
        <v>1.7028224865873572E-2</v>
      </c>
      <c r="I36" s="1">
        <v>66</v>
      </c>
      <c r="J36" s="1">
        <v>78</v>
      </c>
      <c r="K36" s="8">
        <f>Data[[#This Row],[Fraud_Cases_Detected]]/Data[[#This Row],[Employee_Workload]]</f>
        <v>0.84615384615384615</v>
      </c>
      <c r="L36" s="1" t="str">
        <f>IF(Data[[#This Row],[Employee_Workload]]&lt;=45, "Low", IF(Data[[#This Row],[Employee_Workload]]&lt;=65, "Medium", "High"))</f>
        <v>High</v>
      </c>
      <c r="M36" s="1">
        <v>8.3000000000000007</v>
      </c>
      <c r="N36" s="1">
        <v>6.5</v>
      </c>
      <c r="O36" s="3">
        <v>69970000</v>
      </c>
    </row>
    <row r="37" spans="1:15" x14ac:dyDescent="0.25">
      <c r="A37" s="1">
        <v>2021</v>
      </c>
      <c r="B37" s="1" t="s">
        <v>33</v>
      </c>
      <c r="C37" s="1" t="s">
        <v>30</v>
      </c>
      <c r="D37" s="1" t="s">
        <v>28</v>
      </c>
      <c r="E37" s="1">
        <v>3560</v>
      </c>
      <c r="F37" s="1">
        <v>302</v>
      </c>
      <c r="G37" s="1">
        <v>37</v>
      </c>
      <c r="H37" s="7">
        <f>Data[[#This Row],[Compliance_Violations]]/Data[[#This Row],[Total_Audit_Engagements]]</f>
        <v>1.0393258426966293E-2</v>
      </c>
      <c r="I37" s="1">
        <v>42</v>
      </c>
      <c r="J37" s="1">
        <v>50</v>
      </c>
      <c r="K37" s="8">
        <f>Data[[#This Row],[Fraud_Cases_Detected]]/Data[[#This Row],[Employee_Workload]]</f>
        <v>0.84</v>
      </c>
      <c r="L37" s="1" t="str">
        <f>IF(Data[[#This Row],[Employee_Workload]]&lt;=45, "Low", IF(Data[[#This Row],[Employee_Workload]]&lt;=65, "Medium", "High"))</f>
        <v>Medium</v>
      </c>
      <c r="M37" s="1">
        <v>9.1999999999999993</v>
      </c>
      <c r="N37" s="1">
        <v>8.9</v>
      </c>
      <c r="O37" s="3">
        <v>94560000</v>
      </c>
    </row>
    <row r="38" spans="1:15" x14ac:dyDescent="0.25">
      <c r="A38" s="1">
        <v>2023</v>
      </c>
      <c r="B38" s="1" t="s">
        <v>24</v>
      </c>
      <c r="C38" s="1" t="s">
        <v>29</v>
      </c>
      <c r="D38" s="1" t="s">
        <v>28</v>
      </c>
      <c r="E38" s="1">
        <v>3449</v>
      </c>
      <c r="F38" s="1">
        <v>102</v>
      </c>
      <c r="G38" s="1">
        <v>61</v>
      </c>
      <c r="H38" s="7">
        <f>Data[[#This Row],[Compliance_Violations]]/Data[[#This Row],[Total_Audit_Engagements]]</f>
        <v>1.7686285879965208E-2</v>
      </c>
      <c r="I38" s="1">
        <v>42</v>
      </c>
      <c r="J38" s="1">
        <v>77</v>
      </c>
      <c r="K38" s="8">
        <f>Data[[#This Row],[Fraud_Cases_Detected]]/Data[[#This Row],[Employee_Workload]]</f>
        <v>0.54545454545454541</v>
      </c>
      <c r="L38" s="1" t="str">
        <f>IF(Data[[#This Row],[Employee_Workload]]&lt;=45, "Low", IF(Data[[#This Row],[Employee_Workload]]&lt;=65, "Medium", "High"))</f>
        <v>High</v>
      </c>
      <c r="M38" s="1">
        <v>5.2</v>
      </c>
      <c r="N38" s="1">
        <v>9.1999999999999993</v>
      </c>
      <c r="O38" s="3">
        <v>33460000</v>
      </c>
    </row>
    <row r="39" spans="1:15" x14ac:dyDescent="0.25">
      <c r="A39" s="1">
        <v>2024</v>
      </c>
      <c r="B39" s="1" t="s">
        <v>27</v>
      </c>
      <c r="C39" s="1" t="s">
        <v>25</v>
      </c>
      <c r="D39" s="1" t="s">
        <v>26</v>
      </c>
      <c r="E39" s="1">
        <v>4324</v>
      </c>
      <c r="F39" s="1">
        <v>483</v>
      </c>
      <c r="G39" s="1">
        <v>166</v>
      </c>
      <c r="H39" s="7">
        <f>Data[[#This Row],[Compliance_Violations]]/Data[[#This Row],[Total_Audit_Engagements]]</f>
        <v>3.8390379278445887E-2</v>
      </c>
      <c r="I39" s="1">
        <v>26</v>
      </c>
      <c r="J39" s="1">
        <v>40</v>
      </c>
      <c r="K39" s="8">
        <f>Data[[#This Row],[Fraud_Cases_Detected]]/Data[[#This Row],[Employee_Workload]]</f>
        <v>0.65</v>
      </c>
      <c r="L39" s="1" t="str">
        <f>IF(Data[[#This Row],[Employee_Workload]]&lt;=45, "Low", IF(Data[[#This Row],[Employee_Workload]]&lt;=65, "Medium", "High"))</f>
        <v>Low</v>
      </c>
      <c r="M39" s="1">
        <v>8.8000000000000007</v>
      </c>
      <c r="N39" s="1">
        <v>6.2</v>
      </c>
      <c r="O39" s="3">
        <v>284840000</v>
      </c>
    </row>
    <row r="40" spans="1:15" x14ac:dyDescent="0.25">
      <c r="A40" s="1">
        <v>2022</v>
      </c>
      <c r="B40" s="1" t="s">
        <v>32</v>
      </c>
      <c r="C40" s="1" t="s">
        <v>30</v>
      </c>
      <c r="D40" s="1" t="s">
        <v>28</v>
      </c>
      <c r="E40" s="1">
        <v>2245</v>
      </c>
      <c r="F40" s="1">
        <v>435</v>
      </c>
      <c r="G40" s="1">
        <v>42</v>
      </c>
      <c r="H40" s="7">
        <f>Data[[#This Row],[Compliance_Violations]]/Data[[#This Row],[Total_Audit_Engagements]]</f>
        <v>1.8708240534521157E-2</v>
      </c>
      <c r="I40" s="1">
        <v>13</v>
      </c>
      <c r="J40" s="1">
        <v>67</v>
      </c>
      <c r="K40" s="8">
        <f>Data[[#This Row],[Fraud_Cases_Detected]]/Data[[#This Row],[Employee_Workload]]</f>
        <v>0.19402985074626866</v>
      </c>
      <c r="L40" s="1" t="str">
        <f>IF(Data[[#This Row],[Employee_Workload]]&lt;=45, "Low", IF(Data[[#This Row],[Employee_Workload]]&lt;=65, "Medium", "High"))</f>
        <v>High</v>
      </c>
      <c r="M40" s="1">
        <v>7</v>
      </c>
      <c r="N40" s="1">
        <v>5.5</v>
      </c>
      <c r="O40" s="3">
        <v>265760000</v>
      </c>
    </row>
    <row r="41" spans="1:15" x14ac:dyDescent="0.25">
      <c r="A41" s="1">
        <v>2021</v>
      </c>
      <c r="B41" s="1" t="s">
        <v>27</v>
      </c>
      <c r="C41" s="1" t="s">
        <v>31</v>
      </c>
      <c r="D41" s="1" t="s">
        <v>28</v>
      </c>
      <c r="E41" s="1">
        <v>603</v>
      </c>
      <c r="F41" s="1">
        <v>62</v>
      </c>
      <c r="G41" s="1">
        <v>100</v>
      </c>
      <c r="H41" s="7">
        <f>Data[[#This Row],[Compliance_Violations]]/Data[[#This Row],[Total_Audit_Engagements]]</f>
        <v>0.16583747927031509</v>
      </c>
      <c r="I41" s="1">
        <v>20</v>
      </c>
      <c r="J41" s="1">
        <v>60</v>
      </c>
      <c r="K41" s="8">
        <f>Data[[#This Row],[Fraud_Cases_Detected]]/Data[[#This Row],[Employee_Workload]]</f>
        <v>0.33333333333333331</v>
      </c>
      <c r="L41" s="1" t="str">
        <f>IF(Data[[#This Row],[Employee_Workload]]&lt;=45, "Low", IF(Data[[#This Row],[Employee_Workload]]&lt;=65, "Medium", "High"))</f>
        <v>Medium</v>
      </c>
      <c r="M41" s="1">
        <v>5.3</v>
      </c>
      <c r="N41" s="1">
        <v>8.5</v>
      </c>
      <c r="O41" s="3">
        <v>415300000</v>
      </c>
    </row>
    <row r="42" spans="1:15" x14ac:dyDescent="0.25">
      <c r="A42" s="1">
        <v>2020</v>
      </c>
      <c r="B42" s="1" t="s">
        <v>24</v>
      </c>
      <c r="C42" s="1" t="s">
        <v>31</v>
      </c>
      <c r="D42" s="1" t="s">
        <v>28</v>
      </c>
      <c r="E42" s="1">
        <v>3981</v>
      </c>
      <c r="F42" s="1">
        <v>199</v>
      </c>
      <c r="G42" s="1">
        <v>134</v>
      </c>
      <c r="H42" s="7">
        <f>Data[[#This Row],[Compliance_Violations]]/Data[[#This Row],[Total_Audit_Engagements]]</f>
        <v>3.365988445114293E-2</v>
      </c>
      <c r="I42" s="1">
        <v>63</v>
      </c>
      <c r="J42" s="1">
        <v>63</v>
      </c>
      <c r="K42" s="8">
        <f>Data[[#This Row],[Fraud_Cases_Detected]]/Data[[#This Row],[Employee_Workload]]</f>
        <v>1</v>
      </c>
      <c r="L42" s="1" t="str">
        <f>IF(Data[[#This Row],[Employee_Workload]]&lt;=45, "Low", IF(Data[[#This Row],[Employee_Workload]]&lt;=65, "Medium", "High"))</f>
        <v>Medium</v>
      </c>
      <c r="M42" s="1">
        <v>6.8</v>
      </c>
      <c r="N42" s="1">
        <v>8.9</v>
      </c>
      <c r="O42" s="3">
        <v>52640000</v>
      </c>
    </row>
    <row r="43" spans="1:15" x14ac:dyDescent="0.25">
      <c r="A43" s="1">
        <v>2021</v>
      </c>
      <c r="B43" s="1" t="s">
        <v>32</v>
      </c>
      <c r="C43" s="1" t="s">
        <v>31</v>
      </c>
      <c r="D43" s="1" t="s">
        <v>28</v>
      </c>
      <c r="E43" s="1">
        <v>1119</v>
      </c>
      <c r="F43" s="1">
        <v>325</v>
      </c>
      <c r="G43" s="1">
        <v>53</v>
      </c>
      <c r="H43" s="7">
        <f>Data[[#This Row],[Compliance_Violations]]/Data[[#This Row],[Total_Audit_Engagements]]</f>
        <v>4.736371760500447E-2</v>
      </c>
      <c r="I43" s="1">
        <v>40</v>
      </c>
      <c r="J43" s="1">
        <v>71</v>
      </c>
      <c r="K43" s="8">
        <f>Data[[#This Row],[Fraud_Cases_Detected]]/Data[[#This Row],[Employee_Workload]]</f>
        <v>0.56338028169014087</v>
      </c>
      <c r="L43" s="1" t="str">
        <f>IF(Data[[#This Row],[Employee_Workload]]&lt;=45, "Low", IF(Data[[#This Row],[Employee_Workload]]&lt;=65, "Medium", "High"))</f>
        <v>High</v>
      </c>
      <c r="M43" s="1">
        <v>7</v>
      </c>
      <c r="N43" s="1">
        <v>6.4</v>
      </c>
      <c r="O43" s="3">
        <v>307880000</v>
      </c>
    </row>
    <row r="44" spans="1:15" x14ac:dyDescent="0.25">
      <c r="A44" s="1">
        <v>2023</v>
      </c>
      <c r="B44" s="1" t="s">
        <v>33</v>
      </c>
      <c r="C44" s="1" t="s">
        <v>30</v>
      </c>
      <c r="D44" s="1" t="s">
        <v>26</v>
      </c>
      <c r="E44" s="1">
        <v>3076</v>
      </c>
      <c r="F44" s="1">
        <v>428</v>
      </c>
      <c r="G44" s="1">
        <v>138</v>
      </c>
      <c r="H44" s="7">
        <f>Data[[#This Row],[Compliance_Violations]]/Data[[#This Row],[Total_Audit_Engagements]]</f>
        <v>4.4863459037711315E-2</v>
      </c>
      <c r="I44" s="1">
        <v>79</v>
      </c>
      <c r="J44" s="1">
        <v>62</v>
      </c>
      <c r="K44" s="8">
        <f>Data[[#This Row],[Fraud_Cases_Detected]]/Data[[#This Row],[Employee_Workload]]</f>
        <v>1.2741935483870968</v>
      </c>
      <c r="L44" s="1" t="str">
        <f>IF(Data[[#This Row],[Employee_Workload]]&lt;=45, "Low", IF(Data[[#This Row],[Employee_Workload]]&lt;=65, "Medium", "High"))</f>
        <v>Medium</v>
      </c>
      <c r="M44" s="1">
        <v>8.8000000000000007</v>
      </c>
      <c r="N44" s="1">
        <v>7.3</v>
      </c>
      <c r="O44" s="3">
        <v>150590000</v>
      </c>
    </row>
    <row r="45" spans="1:15" x14ac:dyDescent="0.25">
      <c r="A45" s="1">
        <v>2024</v>
      </c>
      <c r="B45" s="1" t="s">
        <v>33</v>
      </c>
      <c r="C45" s="1" t="s">
        <v>25</v>
      </c>
      <c r="D45" s="1" t="s">
        <v>26</v>
      </c>
      <c r="E45" s="1">
        <v>3958</v>
      </c>
      <c r="F45" s="1">
        <v>442</v>
      </c>
      <c r="G45" s="1">
        <v>115</v>
      </c>
      <c r="H45" s="7">
        <f>Data[[#This Row],[Compliance_Violations]]/Data[[#This Row],[Total_Audit_Engagements]]</f>
        <v>2.9055078322385044E-2</v>
      </c>
      <c r="I45" s="1">
        <v>94</v>
      </c>
      <c r="J45" s="1">
        <v>63</v>
      </c>
      <c r="K45" s="8">
        <f>Data[[#This Row],[Fraud_Cases_Detected]]/Data[[#This Row],[Employee_Workload]]</f>
        <v>1.4920634920634921</v>
      </c>
      <c r="L45" s="1" t="str">
        <f>IF(Data[[#This Row],[Employee_Workload]]&lt;=45, "Low", IF(Data[[#This Row],[Employee_Workload]]&lt;=65, "Medium", "High"))</f>
        <v>Medium</v>
      </c>
      <c r="M45" s="1">
        <v>5.2</v>
      </c>
      <c r="N45" s="1">
        <v>5.2</v>
      </c>
      <c r="O45" s="3">
        <v>468130000</v>
      </c>
    </row>
    <row r="46" spans="1:15" x14ac:dyDescent="0.25">
      <c r="A46" s="1">
        <v>2022</v>
      </c>
      <c r="B46" s="1" t="s">
        <v>32</v>
      </c>
      <c r="C46" s="1" t="s">
        <v>25</v>
      </c>
      <c r="D46" s="1" t="s">
        <v>28</v>
      </c>
      <c r="E46" s="1">
        <v>1578</v>
      </c>
      <c r="F46" s="1">
        <v>122</v>
      </c>
      <c r="G46" s="1">
        <v>116</v>
      </c>
      <c r="H46" s="7">
        <f>Data[[#This Row],[Compliance_Violations]]/Data[[#This Row],[Total_Audit_Engagements]]</f>
        <v>7.3510773130544993E-2</v>
      </c>
      <c r="I46" s="1">
        <v>48</v>
      </c>
      <c r="J46" s="1">
        <v>61</v>
      </c>
      <c r="K46" s="8">
        <f>Data[[#This Row],[Fraud_Cases_Detected]]/Data[[#This Row],[Employee_Workload]]</f>
        <v>0.78688524590163933</v>
      </c>
      <c r="L46" s="1" t="str">
        <f>IF(Data[[#This Row],[Employee_Workload]]&lt;=45, "Low", IF(Data[[#This Row],[Employee_Workload]]&lt;=65, "Medium", "High"))</f>
        <v>Medium</v>
      </c>
      <c r="M46" s="1">
        <v>9.5</v>
      </c>
      <c r="N46" s="1">
        <v>7.6</v>
      </c>
      <c r="O46" s="3">
        <v>172000000</v>
      </c>
    </row>
    <row r="47" spans="1:15" x14ac:dyDescent="0.25">
      <c r="A47" s="1">
        <v>2020</v>
      </c>
      <c r="B47" s="1" t="s">
        <v>32</v>
      </c>
      <c r="C47" s="1" t="s">
        <v>31</v>
      </c>
      <c r="D47" s="1" t="s">
        <v>26</v>
      </c>
      <c r="E47" s="1">
        <v>4570</v>
      </c>
      <c r="F47" s="1">
        <v>284</v>
      </c>
      <c r="G47" s="1">
        <v>155</v>
      </c>
      <c r="H47" s="7">
        <f>Data[[#This Row],[Compliance_Violations]]/Data[[#This Row],[Total_Audit_Engagements]]</f>
        <v>3.3916849015317288E-2</v>
      </c>
      <c r="I47" s="1">
        <v>6</v>
      </c>
      <c r="J47" s="1">
        <v>52</v>
      </c>
      <c r="K47" s="8">
        <f>Data[[#This Row],[Fraud_Cases_Detected]]/Data[[#This Row],[Employee_Workload]]</f>
        <v>0.11538461538461539</v>
      </c>
      <c r="L47" s="1" t="str">
        <f>IF(Data[[#This Row],[Employee_Workload]]&lt;=45, "Low", IF(Data[[#This Row],[Employee_Workload]]&lt;=65, "Medium", "High"))</f>
        <v>Medium</v>
      </c>
      <c r="M47" s="1">
        <v>6.1</v>
      </c>
      <c r="N47" s="1">
        <v>6.1</v>
      </c>
      <c r="O47" s="3">
        <v>389370000</v>
      </c>
    </row>
    <row r="48" spans="1:15" x14ac:dyDescent="0.25">
      <c r="A48" s="1">
        <v>2025</v>
      </c>
      <c r="B48" s="1" t="s">
        <v>27</v>
      </c>
      <c r="C48" s="1" t="s">
        <v>30</v>
      </c>
      <c r="D48" s="1" t="s">
        <v>26</v>
      </c>
      <c r="E48" s="1">
        <v>718</v>
      </c>
      <c r="F48" s="1">
        <v>360</v>
      </c>
      <c r="G48" s="1">
        <v>193</v>
      </c>
      <c r="H48" s="7">
        <f>Data[[#This Row],[Compliance_Violations]]/Data[[#This Row],[Total_Audit_Engagements]]</f>
        <v>0.26880222841225626</v>
      </c>
      <c r="I48" s="1">
        <v>14</v>
      </c>
      <c r="J48" s="1">
        <v>64</v>
      </c>
      <c r="K48" s="8">
        <f>Data[[#This Row],[Fraud_Cases_Detected]]/Data[[#This Row],[Employee_Workload]]</f>
        <v>0.21875</v>
      </c>
      <c r="L48" s="1" t="str">
        <f>IF(Data[[#This Row],[Employee_Workload]]&lt;=45, "Low", IF(Data[[#This Row],[Employee_Workload]]&lt;=65, "Medium", "High"))</f>
        <v>Medium</v>
      </c>
      <c r="M48" s="1">
        <v>7.3</v>
      </c>
      <c r="N48" s="1">
        <v>8.9</v>
      </c>
      <c r="O48" s="3">
        <v>432800000</v>
      </c>
    </row>
    <row r="49" spans="1:15" x14ac:dyDescent="0.25">
      <c r="A49" s="1">
        <v>2021</v>
      </c>
      <c r="B49" s="1" t="s">
        <v>27</v>
      </c>
      <c r="C49" s="1" t="s">
        <v>31</v>
      </c>
      <c r="D49" s="1" t="s">
        <v>26</v>
      </c>
      <c r="E49" s="1">
        <v>4601</v>
      </c>
      <c r="F49" s="1">
        <v>65</v>
      </c>
      <c r="G49" s="1">
        <v>196</v>
      </c>
      <c r="H49" s="7">
        <f>Data[[#This Row],[Compliance_Violations]]/Data[[#This Row],[Total_Audit_Engagements]]</f>
        <v>4.2599434905455334E-2</v>
      </c>
      <c r="I49" s="1">
        <v>28</v>
      </c>
      <c r="J49" s="1">
        <v>75</v>
      </c>
      <c r="K49" s="8">
        <f>Data[[#This Row],[Fraud_Cases_Detected]]/Data[[#This Row],[Employee_Workload]]</f>
        <v>0.37333333333333335</v>
      </c>
      <c r="L49" s="1" t="str">
        <f>IF(Data[[#This Row],[Employee_Workload]]&lt;=45, "Low", IF(Data[[#This Row],[Employee_Workload]]&lt;=65, "Medium", "High"))</f>
        <v>High</v>
      </c>
      <c r="M49" s="1">
        <v>7.7</v>
      </c>
      <c r="N49" s="1">
        <v>5.7</v>
      </c>
      <c r="O49" s="3">
        <v>320750000</v>
      </c>
    </row>
    <row r="50" spans="1:15" x14ac:dyDescent="0.25">
      <c r="A50" s="1">
        <v>2025</v>
      </c>
      <c r="B50" s="1" t="s">
        <v>24</v>
      </c>
      <c r="C50" s="1" t="s">
        <v>29</v>
      </c>
      <c r="D50" s="1" t="s">
        <v>28</v>
      </c>
      <c r="E50" s="1">
        <v>4775</v>
      </c>
      <c r="F50" s="1">
        <v>380</v>
      </c>
      <c r="G50" s="1">
        <v>139</v>
      </c>
      <c r="H50" s="7">
        <f>Data[[#This Row],[Compliance_Violations]]/Data[[#This Row],[Total_Audit_Engagements]]</f>
        <v>2.9109947643979058E-2</v>
      </c>
      <c r="I50" s="1">
        <v>87</v>
      </c>
      <c r="J50" s="1">
        <v>53</v>
      </c>
      <c r="K50" s="8">
        <f>Data[[#This Row],[Fraud_Cases_Detected]]/Data[[#This Row],[Employee_Workload]]</f>
        <v>1.6415094339622642</v>
      </c>
      <c r="L50" s="1" t="str">
        <f>IF(Data[[#This Row],[Employee_Workload]]&lt;=45, "Low", IF(Data[[#This Row],[Employee_Workload]]&lt;=65, "Medium", "High"))</f>
        <v>Medium</v>
      </c>
      <c r="M50" s="1">
        <v>8.8000000000000007</v>
      </c>
      <c r="N50" s="1">
        <v>5.8</v>
      </c>
      <c r="O50" s="3">
        <v>429950000</v>
      </c>
    </row>
    <row r="51" spans="1:15" x14ac:dyDescent="0.25">
      <c r="A51" s="1">
        <v>2022</v>
      </c>
      <c r="B51" s="1" t="s">
        <v>33</v>
      </c>
      <c r="C51" s="1" t="s">
        <v>30</v>
      </c>
      <c r="D51" s="1" t="s">
        <v>28</v>
      </c>
      <c r="E51" s="1">
        <v>4340</v>
      </c>
      <c r="F51" s="1">
        <v>208</v>
      </c>
      <c r="G51" s="1">
        <v>86</v>
      </c>
      <c r="H51" s="7">
        <f>Data[[#This Row],[Compliance_Violations]]/Data[[#This Row],[Total_Audit_Engagements]]</f>
        <v>1.9815668202764977E-2</v>
      </c>
      <c r="I51" s="1">
        <v>70</v>
      </c>
      <c r="J51" s="1">
        <v>57</v>
      </c>
      <c r="K51" s="8">
        <f>Data[[#This Row],[Fraud_Cases_Detected]]/Data[[#This Row],[Employee_Workload]]</f>
        <v>1.2280701754385965</v>
      </c>
      <c r="L51" s="1" t="str">
        <f>IF(Data[[#This Row],[Employee_Workload]]&lt;=45, "Low", IF(Data[[#This Row],[Employee_Workload]]&lt;=65, "Medium", "High"))</f>
        <v>Medium</v>
      </c>
      <c r="M51" s="1">
        <v>5.5</v>
      </c>
      <c r="N51" s="1">
        <v>7.6</v>
      </c>
      <c r="O51" s="3">
        <v>178860000</v>
      </c>
    </row>
    <row r="52" spans="1:15" x14ac:dyDescent="0.25">
      <c r="A52" s="1">
        <v>2021</v>
      </c>
      <c r="B52" s="1" t="s">
        <v>33</v>
      </c>
      <c r="C52" s="1" t="s">
        <v>29</v>
      </c>
      <c r="D52" s="1" t="s">
        <v>26</v>
      </c>
      <c r="E52" s="1">
        <v>4327</v>
      </c>
      <c r="F52" s="1">
        <v>312</v>
      </c>
      <c r="G52" s="1">
        <v>94</v>
      </c>
      <c r="H52" s="7">
        <f>Data[[#This Row],[Compliance_Violations]]/Data[[#This Row],[Total_Audit_Engagements]]</f>
        <v>2.1724058238964641E-2</v>
      </c>
      <c r="I52" s="1">
        <v>86</v>
      </c>
      <c r="J52" s="1">
        <v>66</v>
      </c>
      <c r="K52" s="8">
        <f>Data[[#This Row],[Fraud_Cases_Detected]]/Data[[#This Row],[Employee_Workload]]</f>
        <v>1.303030303030303</v>
      </c>
      <c r="L52" s="1" t="str">
        <f>IF(Data[[#This Row],[Employee_Workload]]&lt;=45, "Low", IF(Data[[#This Row],[Employee_Workload]]&lt;=65, "Medium", "High"))</f>
        <v>High</v>
      </c>
      <c r="M52" s="1">
        <v>9.9</v>
      </c>
      <c r="N52" s="1">
        <v>9.6</v>
      </c>
      <c r="O52" s="3">
        <v>444510000</v>
      </c>
    </row>
    <row r="53" spans="1:15" x14ac:dyDescent="0.25">
      <c r="A53" s="1">
        <v>2025</v>
      </c>
      <c r="B53" s="1" t="s">
        <v>27</v>
      </c>
      <c r="C53" s="1" t="s">
        <v>31</v>
      </c>
      <c r="D53" s="1" t="s">
        <v>28</v>
      </c>
      <c r="E53" s="1">
        <v>1695</v>
      </c>
      <c r="F53" s="1">
        <v>285</v>
      </c>
      <c r="G53" s="1">
        <v>137</v>
      </c>
      <c r="H53" s="7">
        <f>Data[[#This Row],[Compliance_Violations]]/Data[[#This Row],[Total_Audit_Engagements]]</f>
        <v>8.0825958702064896E-2</v>
      </c>
      <c r="I53" s="1">
        <v>61</v>
      </c>
      <c r="J53" s="1">
        <v>64</v>
      </c>
      <c r="K53" s="8">
        <f>Data[[#This Row],[Fraud_Cases_Detected]]/Data[[#This Row],[Employee_Workload]]</f>
        <v>0.953125</v>
      </c>
      <c r="L53" s="1" t="str">
        <f>IF(Data[[#This Row],[Employee_Workload]]&lt;=45, "Low", IF(Data[[#This Row],[Employee_Workload]]&lt;=65, "Medium", "High"))</f>
        <v>Medium</v>
      </c>
      <c r="M53" s="1">
        <v>9.1</v>
      </c>
      <c r="N53" s="1">
        <v>8.4</v>
      </c>
      <c r="O53" s="3">
        <v>302280000</v>
      </c>
    </row>
    <row r="54" spans="1:15" x14ac:dyDescent="0.25">
      <c r="A54" s="1">
        <v>2020</v>
      </c>
      <c r="B54" s="1" t="s">
        <v>27</v>
      </c>
      <c r="C54" s="1" t="s">
        <v>25</v>
      </c>
      <c r="D54" s="1" t="s">
        <v>26</v>
      </c>
      <c r="E54" s="1">
        <v>995</v>
      </c>
      <c r="F54" s="1">
        <v>354</v>
      </c>
      <c r="G54" s="1">
        <v>126</v>
      </c>
      <c r="H54" s="7">
        <f>Data[[#This Row],[Compliance_Violations]]/Data[[#This Row],[Total_Audit_Engagements]]</f>
        <v>0.12663316582914572</v>
      </c>
      <c r="I54" s="1">
        <v>25</v>
      </c>
      <c r="J54" s="1">
        <v>68</v>
      </c>
      <c r="K54" s="8">
        <f>Data[[#This Row],[Fraud_Cases_Detected]]/Data[[#This Row],[Employee_Workload]]</f>
        <v>0.36764705882352944</v>
      </c>
      <c r="L54" s="1" t="str">
        <f>IF(Data[[#This Row],[Employee_Workload]]&lt;=45, "Low", IF(Data[[#This Row],[Employee_Workload]]&lt;=65, "Medium", "High"))</f>
        <v>High</v>
      </c>
      <c r="M54" s="1">
        <v>9.3000000000000007</v>
      </c>
      <c r="N54" s="1">
        <v>6.2</v>
      </c>
      <c r="O54" s="3">
        <v>160310000</v>
      </c>
    </row>
    <row r="55" spans="1:15" x14ac:dyDescent="0.25">
      <c r="A55" s="1">
        <v>2023</v>
      </c>
      <c r="B55" s="1" t="s">
        <v>32</v>
      </c>
      <c r="C55" s="1" t="s">
        <v>25</v>
      </c>
      <c r="D55" s="1" t="s">
        <v>26</v>
      </c>
      <c r="E55" s="1">
        <v>3101</v>
      </c>
      <c r="F55" s="1">
        <v>398</v>
      </c>
      <c r="G55" s="1">
        <v>149</v>
      </c>
      <c r="H55" s="7">
        <f>Data[[#This Row],[Compliance_Violations]]/Data[[#This Row],[Total_Audit_Engagements]]</f>
        <v>4.8049016446307644E-2</v>
      </c>
      <c r="I55" s="1">
        <v>36</v>
      </c>
      <c r="J55" s="1">
        <v>60</v>
      </c>
      <c r="K55" s="8">
        <f>Data[[#This Row],[Fraud_Cases_Detected]]/Data[[#This Row],[Employee_Workload]]</f>
        <v>0.6</v>
      </c>
      <c r="L55" s="1" t="str">
        <f>IF(Data[[#This Row],[Employee_Workload]]&lt;=45, "Low", IF(Data[[#This Row],[Employee_Workload]]&lt;=65, "Medium", "High"))</f>
        <v>Medium</v>
      </c>
      <c r="M55" s="1">
        <v>9.5</v>
      </c>
      <c r="N55" s="1">
        <v>9.9</v>
      </c>
      <c r="O55" s="3">
        <v>483070000</v>
      </c>
    </row>
    <row r="56" spans="1:15" x14ac:dyDescent="0.25">
      <c r="A56" s="1">
        <v>2021</v>
      </c>
      <c r="B56" s="1" t="s">
        <v>27</v>
      </c>
      <c r="C56" s="1" t="s">
        <v>31</v>
      </c>
      <c r="D56" s="1" t="s">
        <v>26</v>
      </c>
      <c r="E56" s="1">
        <v>1992</v>
      </c>
      <c r="F56" s="1">
        <v>313</v>
      </c>
      <c r="G56" s="1">
        <v>74</v>
      </c>
      <c r="H56" s="7">
        <f>Data[[#This Row],[Compliance_Violations]]/Data[[#This Row],[Total_Audit_Engagements]]</f>
        <v>3.7148594377510037E-2</v>
      </c>
      <c r="I56" s="1">
        <v>93</v>
      </c>
      <c r="J56" s="1">
        <v>61</v>
      </c>
      <c r="K56" s="8">
        <f>Data[[#This Row],[Fraud_Cases_Detected]]/Data[[#This Row],[Employee_Workload]]</f>
        <v>1.5245901639344261</v>
      </c>
      <c r="L56" s="1" t="str">
        <f>IF(Data[[#This Row],[Employee_Workload]]&lt;=45, "Low", IF(Data[[#This Row],[Employee_Workload]]&lt;=65, "Medium", "High"))</f>
        <v>Medium</v>
      </c>
      <c r="M56" s="1">
        <v>7.6</v>
      </c>
      <c r="N56" s="1">
        <v>7.5</v>
      </c>
      <c r="O56" s="3">
        <v>110060000</v>
      </c>
    </row>
    <row r="57" spans="1:15" x14ac:dyDescent="0.25">
      <c r="A57" s="1">
        <v>2025</v>
      </c>
      <c r="B57" s="1" t="s">
        <v>33</v>
      </c>
      <c r="C57" s="1" t="s">
        <v>25</v>
      </c>
      <c r="D57" s="1" t="s">
        <v>28</v>
      </c>
      <c r="E57" s="1">
        <v>2506</v>
      </c>
      <c r="F57" s="1">
        <v>330</v>
      </c>
      <c r="G57" s="1">
        <v>55</v>
      </c>
      <c r="H57" s="7">
        <f>Data[[#This Row],[Compliance_Violations]]/Data[[#This Row],[Total_Audit_Engagements]]</f>
        <v>2.194732641660016E-2</v>
      </c>
      <c r="I57" s="1">
        <v>94</v>
      </c>
      <c r="J57" s="1">
        <v>40</v>
      </c>
      <c r="K57" s="8">
        <f>Data[[#This Row],[Fraud_Cases_Detected]]/Data[[#This Row],[Employee_Workload]]</f>
        <v>2.35</v>
      </c>
      <c r="L57" s="1" t="str">
        <f>IF(Data[[#This Row],[Employee_Workload]]&lt;=45, "Low", IF(Data[[#This Row],[Employee_Workload]]&lt;=65, "Medium", "High"))</f>
        <v>Low</v>
      </c>
      <c r="M57" s="1">
        <v>7.5</v>
      </c>
      <c r="N57" s="1">
        <v>9.6</v>
      </c>
      <c r="O57" s="3">
        <v>250740000</v>
      </c>
    </row>
    <row r="58" spans="1:15" x14ac:dyDescent="0.25">
      <c r="A58" s="1">
        <v>2024</v>
      </c>
      <c r="B58" s="1" t="s">
        <v>32</v>
      </c>
      <c r="C58" s="1" t="s">
        <v>29</v>
      </c>
      <c r="D58" s="1" t="s">
        <v>26</v>
      </c>
      <c r="E58" s="1">
        <v>2556</v>
      </c>
      <c r="F58" s="1">
        <v>306</v>
      </c>
      <c r="G58" s="1">
        <v>45</v>
      </c>
      <c r="H58" s="7">
        <f>Data[[#This Row],[Compliance_Violations]]/Data[[#This Row],[Total_Audit_Engagements]]</f>
        <v>1.7605633802816902E-2</v>
      </c>
      <c r="I58" s="1">
        <v>91</v>
      </c>
      <c r="J58" s="1">
        <v>68</v>
      </c>
      <c r="K58" s="8">
        <f>Data[[#This Row],[Fraud_Cases_Detected]]/Data[[#This Row],[Employee_Workload]]</f>
        <v>1.338235294117647</v>
      </c>
      <c r="L58" s="1" t="str">
        <f>IF(Data[[#This Row],[Employee_Workload]]&lt;=45, "Low", IF(Data[[#This Row],[Employee_Workload]]&lt;=65, "Medium", "High"))</f>
        <v>High</v>
      </c>
      <c r="M58" s="1">
        <v>5.3</v>
      </c>
      <c r="N58" s="1">
        <v>5.0999999999999996</v>
      </c>
      <c r="O58" s="3">
        <v>426070000</v>
      </c>
    </row>
    <row r="59" spans="1:15" x14ac:dyDescent="0.25">
      <c r="A59" s="1">
        <v>2025</v>
      </c>
      <c r="B59" s="1" t="s">
        <v>27</v>
      </c>
      <c r="C59" s="1" t="s">
        <v>31</v>
      </c>
      <c r="D59" s="1" t="s">
        <v>28</v>
      </c>
      <c r="E59" s="1">
        <v>4390</v>
      </c>
      <c r="F59" s="1">
        <v>367</v>
      </c>
      <c r="G59" s="1">
        <v>167</v>
      </c>
      <c r="H59" s="7">
        <f>Data[[#This Row],[Compliance_Violations]]/Data[[#This Row],[Total_Audit_Engagements]]</f>
        <v>3.8041002277904329E-2</v>
      </c>
      <c r="I59" s="1">
        <v>51</v>
      </c>
      <c r="J59" s="1">
        <v>59</v>
      </c>
      <c r="K59" s="8">
        <f>Data[[#This Row],[Fraud_Cases_Detected]]/Data[[#This Row],[Employee_Workload]]</f>
        <v>0.86440677966101698</v>
      </c>
      <c r="L59" s="1" t="str">
        <f>IF(Data[[#This Row],[Employee_Workload]]&lt;=45, "Low", IF(Data[[#This Row],[Employee_Workload]]&lt;=65, "Medium", "High"))</f>
        <v>Medium</v>
      </c>
      <c r="M59" s="1">
        <v>7.8</v>
      </c>
      <c r="N59" s="1">
        <v>9.6</v>
      </c>
      <c r="O59" s="3">
        <v>334560000</v>
      </c>
    </row>
    <row r="60" spans="1:15" x14ac:dyDescent="0.25">
      <c r="A60" s="1">
        <v>2020</v>
      </c>
      <c r="B60" s="1" t="s">
        <v>24</v>
      </c>
      <c r="C60" s="1" t="s">
        <v>29</v>
      </c>
      <c r="D60" s="1" t="s">
        <v>26</v>
      </c>
      <c r="E60" s="1">
        <v>4401</v>
      </c>
      <c r="F60" s="1">
        <v>249</v>
      </c>
      <c r="G60" s="1">
        <v>126</v>
      </c>
      <c r="H60" s="7">
        <f>Data[[#This Row],[Compliance_Violations]]/Data[[#This Row],[Total_Audit_Engagements]]</f>
        <v>2.8629856850715747E-2</v>
      </c>
      <c r="I60" s="1">
        <v>45</v>
      </c>
      <c r="J60" s="1">
        <v>60</v>
      </c>
      <c r="K60" s="8">
        <f>Data[[#This Row],[Fraud_Cases_Detected]]/Data[[#This Row],[Employee_Workload]]</f>
        <v>0.75</v>
      </c>
      <c r="L60" s="1" t="str">
        <f>IF(Data[[#This Row],[Employee_Workload]]&lt;=45, "Low", IF(Data[[#This Row],[Employee_Workload]]&lt;=65, "Medium", "High"))</f>
        <v>Medium</v>
      </c>
      <c r="M60" s="1">
        <v>8.1999999999999993</v>
      </c>
      <c r="N60" s="1">
        <v>5.7</v>
      </c>
      <c r="O60" s="3">
        <v>424030000</v>
      </c>
    </row>
    <row r="61" spans="1:15" x14ac:dyDescent="0.25">
      <c r="A61" s="1">
        <v>2024</v>
      </c>
      <c r="B61" s="1" t="s">
        <v>27</v>
      </c>
      <c r="C61" s="1" t="s">
        <v>30</v>
      </c>
      <c r="D61" s="1" t="s">
        <v>26</v>
      </c>
      <c r="E61" s="1">
        <v>1275</v>
      </c>
      <c r="F61" s="1">
        <v>201</v>
      </c>
      <c r="G61" s="1">
        <v>20</v>
      </c>
      <c r="H61" s="7">
        <f>Data[[#This Row],[Compliance_Violations]]/Data[[#This Row],[Total_Audit_Engagements]]</f>
        <v>1.5686274509803921E-2</v>
      </c>
      <c r="I61" s="1">
        <v>100</v>
      </c>
      <c r="J61" s="1">
        <v>66</v>
      </c>
      <c r="K61" s="8">
        <f>Data[[#This Row],[Fraud_Cases_Detected]]/Data[[#This Row],[Employee_Workload]]</f>
        <v>1.5151515151515151</v>
      </c>
      <c r="L61" s="1" t="str">
        <f>IF(Data[[#This Row],[Employee_Workload]]&lt;=45, "Low", IF(Data[[#This Row],[Employee_Workload]]&lt;=65, "Medium", "High"))</f>
        <v>High</v>
      </c>
      <c r="M61" s="1">
        <v>8.5</v>
      </c>
      <c r="N61" s="1">
        <v>7.8</v>
      </c>
      <c r="O61" s="3">
        <v>378300000</v>
      </c>
    </row>
    <row r="62" spans="1:15" x14ac:dyDescent="0.25">
      <c r="A62" s="1">
        <v>2021</v>
      </c>
      <c r="B62" s="1" t="s">
        <v>33</v>
      </c>
      <c r="C62" s="1" t="s">
        <v>30</v>
      </c>
      <c r="D62" s="1" t="s">
        <v>28</v>
      </c>
      <c r="E62" s="1">
        <v>3630</v>
      </c>
      <c r="F62" s="1">
        <v>208</v>
      </c>
      <c r="G62" s="1">
        <v>92</v>
      </c>
      <c r="H62" s="7">
        <f>Data[[#This Row],[Compliance_Violations]]/Data[[#This Row],[Total_Audit_Engagements]]</f>
        <v>2.5344352617079891E-2</v>
      </c>
      <c r="I62" s="1">
        <v>24</v>
      </c>
      <c r="J62" s="1">
        <v>48</v>
      </c>
      <c r="K62" s="8">
        <f>Data[[#This Row],[Fraud_Cases_Detected]]/Data[[#This Row],[Employee_Workload]]</f>
        <v>0.5</v>
      </c>
      <c r="L62" s="1" t="str">
        <f>IF(Data[[#This Row],[Employee_Workload]]&lt;=45, "Low", IF(Data[[#This Row],[Employee_Workload]]&lt;=65, "Medium", "High"))</f>
        <v>Medium</v>
      </c>
      <c r="M62" s="1">
        <v>5</v>
      </c>
      <c r="N62" s="1">
        <v>5.4</v>
      </c>
      <c r="O62" s="3">
        <v>440900000</v>
      </c>
    </row>
    <row r="63" spans="1:15" x14ac:dyDescent="0.25">
      <c r="A63" s="1">
        <v>2020</v>
      </c>
      <c r="B63" s="1" t="s">
        <v>33</v>
      </c>
      <c r="C63" s="1" t="s">
        <v>30</v>
      </c>
      <c r="D63" s="1" t="s">
        <v>28</v>
      </c>
      <c r="E63" s="1">
        <v>2654</v>
      </c>
      <c r="F63" s="1">
        <v>231</v>
      </c>
      <c r="G63" s="1">
        <v>185</v>
      </c>
      <c r="H63" s="7">
        <f>Data[[#This Row],[Compliance_Violations]]/Data[[#This Row],[Total_Audit_Engagements]]</f>
        <v>6.9706103993971369E-2</v>
      </c>
      <c r="I63" s="1">
        <v>73</v>
      </c>
      <c r="J63" s="1">
        <v>60</v>
      </c>
      <c r="K63" s="8">
        <f>Data[[#This Row],[Fraud_Cases_Detected]]/Data[[#This Row],[Employee_Workload]]</f>
        <v>1.2166666666666666</v>
      </c>
      <c r="L63" s="1" t="str">
        <f>IF(Data[[#This Row],[Employee_Workload]]&lt;=45, "Low", IF(Data[[#This Row],[Employee_Workload]]&lt;=65, "Medium", "High"))</f>
        <v>Medium</v>
      </c>
      <c r="M63" s="1">
        <v>9.1999999999999993</v>
      </c>
      <c r="N63" s="1">
        <v>7</v>
      </c>
      <c r="O63" s="3">
        <v>478000000</v>
      </c>
    </row>
    <row r="64" spans="1:15" x14ac:dyDescent="0.25">
      <c r="A64" s="1">
        <v>2025</v>
      </c>
      <c r="B64" s="1" t="s">
        <v>32</v>
      </c>
      <c r="C64" s="1" t="s">
        <v>30</v>
      </c>
      <c r="D64" s="1" t="s">
        <v>26</v>
      </c>
      <c r="E64" s="1">
        <v>1810</v>
      </c>
      <c r="F64" s="1">
        <v>91</v>
      </c>
      <c r="G64" s="1">
        <v>151</v>
      </c>
      <c r="H64" s="7">
        <f>Data[[#This Row],[Compliance_Violations]]/Data[[#This Row],[Total_Audit_Engagements]]</f>
        <v>8.342541436464089E-2</v>
      </c>
      <c r="I64" s="1">
        <v>54</v>
      </c>
      <c r="J64" s="1">
        <v>55</v>
      </c>
      <c r="K64" s="8">
        <f>Data[[#This Row],[Fraud_Cases_Detected]]/Data[[#This Row],[Employee_Workload]]</f>
        <v>0.98181818181818181</v>
      </c>
      <c r="L64" s="1" t="str">
        <f>IF(Data[[#This Row],[Employee_Workload]]&lt;=45, "Low", IF(Data[[#This Row],[Employee_Workload]]&lt;=65, "Medium", "High"))</f>
        <v>Medium</v>
      </c>
      <c r="M64" s="1">
        <v>5.9</v>
      </c>
      <c r="N64" s="1">
        <v>6.9</v>
      </c>
      <c r="O64" s="3">
        <v>285510000</v>
      </c>
    </row>
    <row r="65" spans="1:15" x14ac:dyDescent="0.25">
      <c r="A65" s="1">
        <v>2025</v>
      </c>
      <c r="B65" s="1" t="s">
        <v>27</v>
      </c>
      <c r="C65" s="1" t="s">
        <v>30</v>
      </c>
      <c r="D65" s="1" t="s">
        <v>28</v>
      </c>
      <c r="E65" s="1">
        <v>2208</v>
      </c>
      <c r="F65" s="1">
        <v>296</v>
      </c>
      <c r="G65" s="1">
        <v>198</v>
      </c>
      <c r="H65" s="7">
        <f>Data[[#This Row],[Compliance_Violations]]/Data[[#This Row],[Total_Audit_Engagements]]</f>
        <v>8.9673913043478257E-2</v>
      </c>
      <c r="I65" s="1">
        <v>72</v>
      </c>
      <c r="J65" s="1">
        <v>77</v>
      </c>
      <c r="K65" s="8">
        <f>Data[[#This Row],[Fraud_Cases_Detected]]/Data[[#This Row],[Employee_Workload]]</f>
        <v>0.93506493506493504</v>
      </c>
      <c r="L65" s="1" t="str">
        <f>IF(Data[[#This Row],[Employee_Workload]]&lt;=45, "Low", IF(Data[[#This Row],[Employee_Workload]]&lt;=65, "Medium", "High"))</f>
        <v>High</v>
      </c>
      <c r="M65" s="1">
        <v>6</v>
      </c>
      <c r="N65" s="1">
        <v>6.7</v>
      </c>
      <c r="O65" s="3">
        <v>395590000</v>
      </c>
    </row>
    <row r="66" spans="1:15" x14ac:dyDescent="0.25">
      <c r="A66" s="1">
        <v>2023</v>
      </c>
      <c r="B66" s="1" t="s">
        <v>33</v>
      </c>
      <c r="C66" s="1" t="s">
        <v>30</v>
      </c>
      <c r="D66" s="1" t="s">
        <v>26</v>
      </c>
      <c r="E66" s="1">
        <v>2133</v>
      </c>
      <c r="F66" s="1">
        <v>52</v>
      </c>
      <c r="G66" s="1">
        <v>141</v>
      </c>
      <c r="H66" s="7">
        <f>Data[[#This Row],[Compliance_Violations]]/Data[[#This Row],[Total_Audit_Engagements]]</f>
        <v>6.6104078762306617E-2</v>
      </c>
      <c r="I66" s="1">
        <v>50</v>
      </c>
      <c r="J66" s="1">
        <v>44</v>
      </c>
      <c r="K66" s="8">
        <f>Data[[#This Row],[Fraud_Cases_Detected]]/Data[[#This Row],[Employee_Workload]]</f>
        <v>1.1363636363636365</v>
      </c>
      <c r="L66" s="1" t="str">
        <f>IF(Data[[#This Row],[Employee_Workload]]&lt;=45, "Low", IF(Data[[#This Row],[Employee_Workload]]&lt;=65, "Medium", "High"))</f>
        <v>Low</v>
      </c>
      <c r="M66" s="1">
        <v>9.8000000000000007</v>
      </c>
      <c r="N66" s="1">
        <v>5.8</v>
      </c>
      <c r="O66" s="3">
        <v>88080000</v>
      </c>
    </row>
    <row r="67" spans="1:15" x14ac:dyDescent="0.25">
      <c r="A67" s="1">
        <v>2024</v>
      </c>
      <c r="B67" s="1" t="s">
        <v>27</v>
      </c>
      <c r="C67" s="1" t="s">
        <v>29</v>
      </c>
      <c r="D67" s="1" t="s">
        <v>28</v>
      </c>
      <c r="E67" s="1">
        <v>2183</v>
      </c>
      <c r="F67" s="1">
        <v>449</v>
      </c>
      <c r="G67" s="1">
        <v>25</v>
      </c>
      <c r="H67" s="7">
        <f>Data[[#This Row],[Compliance_Violations]]/Data[[#This Row],[Total_Audit_Engagements]]</f>
        <v>1.1452130096197893E-2</v>
      </c>
      <c r="I67" s="1">
        <v>27</v>
      </c>
      <c r="J67" s="1">
        <v>48</v>
      </c>
      <c r="K67" s="8">
        <f>Data[[#This Row],[Fraud_Cases_Detected]]/Data[[#This Row],[Employee_Workload]]</f>
        <v>0.5625</v>
      </c>
      <c r="L67" s="1" t="str">
        <f>IF(Data[[#This Row],[Employee_Workload]]&lt;=45, "Low", IF(Data[[#This Row],[Employee_Workload]]&lt;=65, "Medium", "High"))</f>
        <v>Medium</v>
      </c>
      <c r="M67" s="1">
        <v>9</v>
      </c>
      <c r="N67" s="1">
        <v>8.3000000000000007</v>
      </c>
      <c r="O67" s="3">
        <v>263140000</v>
      </c>
    </row>
    <row r="68" spans="1:15" x14ac:dyDescent="0.25">
      <c r="A68" s="1">
        <v>2022</v>
      </c>
      <c r="B68" s="1" t="s">
        <v>33</v>
      </c>
      <c r="C68" s="1" t="s">
        <v>30</v>
      </c>
      <c r="D68" s="1" t="s">
        <v>26</v>
      </c>
      <c r="E68" s="1">
        <v>1924</v>
      </c>
      <c r="F68" s="1">
        <v>487</v>
      </c>
      <c r="G68" s="1">
        <v>141</v>
      </c>
      <c r="H68" s="7">
        <f>Data[[#This Row],[Compliance_Violations]]/Data[[#This Row],[Total_Audit_Engagements]]</f>
        <v>7.3284823284823289E-2</v>
      </c>
      <c r="I68" s="1">
        <v>33</v>
      </c>
      <c r="J68" s="1">
        <v>68</v>
      </c>
      <c r="K68" s="8">
        <f>Data[[#This Row],[Fraud_Cases_Detected]]/Data[[#This Row],[Employee_Workload]]</f>
        <v>0.48529411764705882</v>
      </c>
      <c r="L68" s="1" t="str">
        <f>IF(Data[[#This Row],[Employee_Workload]]&lt;=45, "Low", IF(Data[[#This Row],[Employee_Workload]]&lt;=65, "Medium", "High"))</f>
        <v>High</v>
      </c>
      <c r="M68" s="1">
        <v>7.3</v>
      </c>
      <c r="N68" s="1">
        <v>8.8000000000000007</v>
      </c>
      <c r="O68" s="3">
        <v>307610000</v>
      </c>
    </row>
    <row r="69" spans="1:15" x14ac:dyDescent="0.25">
      <c r="A69" s="1">
        <v>2022</v>
      </c>
      <c r="B69" s="1" t="s">
        <v>33</v>
      </c>
      <c r="C69" s="1" t="s">
        <v>29</v>
      </c>
      <c r="D69" s="1" t="s">
        <v>28</v>
      </c>
      <c r="E69" s="1">
        <v>4624</v>
      </c>
      <c r="F69" s="1">
        <v>472</v>
      </c>
      <c r="G69" s="1">
        <v>142</v>
      </c>
      <c r="H69" s="7">
        <f>Data[[#This Row],[Compliance_Violations]]/Data[[#This Row],[Total_Audit_Engagements]]</f>
        <v>3.0709342560553632E-2</v>
      </c>
      <c r="I69" s="1">
        <v>50</v>
      </c>
      <c r="J69" s="1">
        <v>46</v>
      </c>
      <c r="K69" s="8">
        <f>Data[[#This Row],[Fraud_Cases_Detected]]/Data[[#This Row],[Employee_Workload]]</f>
        <v>1.0869565217391304</v>
      </c>
      <c r="L69" s="1" t="str">
        <f>IF(Data[[#This Row],[Employee_Workload]]&lt;=45, "Low", IF(Data[[#This Row],[Employee_Workload]]&lt;=65, "Medium", "High"))</f>
        <v>Medium</v>
      </c>
      <c r="M69" s="1">
        <v>5.5</v>
      </c>
      <c r="N69" s="1">
        <v>5.7</v>
      </c>
      <c r="O69" s="3">
        <v>65000000</v>
      </c>
    </row>
    <row r="70" spans="1:15" x14ac:dyDescent="0.25">
      <c r="A70" s="1">
        <v>2024</v>
      </c>
      <c r="B70" s="1" t="s">
        <v>32</v>
      </c>
      <c r="C70" s="1" t="s">
        <v>31</v>
      </c>
      <c r="D70" s="1" t="s">
        <v>26</v>
      </c>
      <c r="E70" s="1">
        <v>1825</v>
      </c>
      <c r="F70" s="1">
        <v>377</v>
      </c>
      <c r="G70" s="1">
        <v>31</v>
      </c>
      <c r="H70" s="7">
        <f>Data[[#This Row],[Compliance_Violations]]/Data[[#This Row],[Total_Audit_Engagements]]</f>
        <v>1.6986301369863014E-2</v>
      </c>
      <c r="I70" s="1">
        <v>80</v>
      </c>
      <c r="J70" s="1">
        <v>74</v>
      </c>
      <c r="K70" s="8">
        <f>Data[[#This Row],[Fraud_Cases_Detected]]/Data[[#This Row],[Employee_Workload]]</f>
        <v>1.0810810810810811</v>
      </c>
      <c r="L70" s="1" t="str">
        <f>IF(Data[[#This Row],[Employee_Workload]]&lt;=45, "Low", IF(Data[[#This Row],[Employee_Workload]]&lt;=65, "Medium", "High"))</f>
        <v>High</v>
      </c>
      <c r="M70" s="1">
        <v>6</v>
      </c>
      <c r="N70" s="1">
        <v>9.5</v>
      </c>
      <c r="O70" s="3">
        <v>193070000</v>
      </c>
    </row>
    <row r="71" spans="1:15" x14ac:dyDescent="0.25">
      <c r="A71" s="1">
        <v>2021</v>
      </c>
      <c r="B71" s="1" t="s">
        <v>32</v>
      </c>
      <c r="C71" s="1" t="s">
        <v>31</v>
      </c>
      <c r="D71" s="1" t="s">
        <v>26</v>
      </c>
      <c r="E71" s="1">
        <v>1069</v>
      </c>
      <c r="F71" s="1">
        <v>222</v>
      </c>
      <c r="G71" s="1">
        <v>102</v>
      </c>
      <c r="H71" s="7">
        <f>Data[[#This Row],[Compliance_Violations]]/Data[[#This Row],[Total_Audit_Engagements]]</f>
        <v>9.5416276894293731E-2</v>
      </c>
      <c r="I71" s="1">
        <v>11</v>
      </c>
      <c r="J71" s="1">
        <v>54</v>
      </c>
      <c r="K71" s="8">
        <f>Data[[#This Row],[Fraud_Cases_Detected]]/Data[[#This Row],[Employee_Workload]]</f>
        <v>0.20370370370370369</v>
      </c>
      <c r="L71" s="1" t="str">
        <f>IF(Data[[#This Row],[Employee_Workload]]&lt;=45, "Low", IF(Data[[#This Row],[Employee_Workload]]&lt;=65, "Medium", "High"))</f>
        <v>Medium</v>
      </c>
      <c r="M71" s="1">
        <v>6.2</v>
      </c>
      <c r="N71" s="1">
        <v>6.6</v>
      </c>
      <c r="O71" s="3">
        <v>497060000</v>
      </c>
    </row>
    <row r="72" spans="1:15" x14ac:dyDescent="0.25">
      <c r="A72" s="1">
        <v>2023</v>
      </c>
      <c r="B72" s="1" t="s">
        <v>24</v>
      </c>
      <c r="C72" s="1" t="s">
        <v>25</v>
      </c>
      <c r="D72" s="1" t="s">
        <v>28</v>
      </c>
      <c r="E72" s="1">
        <v>2283</v>
      </c>
      <c r="F72" s="1">
        <v>58</v>
      </c>
      <c r="G72" s="1">
        <v>103</v>
      </c>
      <c r="H72" s="7">
        <f>Data[[#This Row],[Compliance_Violations]]/Data[[#This Row],[Total_Audit_Engagements]]</f>
        <v>4.5116075339465614E-2</v>
      </c>
      <c r="I72" s="1">
        <v>82</v>
      </c>
      <c r="J72" s="1">
        <v>59</v>
      </c>
      <c r="K72" s="8">
        <f>Data[[#This Row],[Fraud_Cases_Detected]]/Data[[#This Row],[Employee_Workload]]</f>
        <v>1.3898305084745763</v>
      </c>
      <c r="L72" s="1" t="str">
        <f>IF(Data[[#This Row],[Employee_Workload]]&lt;=45, "Low", IF(Data[[#This Row],[Employee_Workload]]&lt;=65, "Medium", "High"))</f>
        <v>Medium</v>
      </c>
      <c r="M72" s="1">
        <v>6.7</v>
      </c>
      <c r="N72" s="1">
        <v>5.6</v>
      </c>
      <c r="O72" s="3">
        <v>168150000</v>
      </c>
    </row>
    <row r="73" spans="1:15" x14ac:dyDescent="0.25">
      <c r="A73" s="1">
        <v>2024</v>
      </c>
      <c r="B73" s="1" t="s">
        <v>27</v>
      </c>
      <c r="C73" s="1" t="s">
        <v>25</v>
      </c>
      <c r="D73" s="1" t="s">
        <v>26</v>
      </c>
      <c r="E73" s="1">
        <v>4784</v>
      </c>
      <c r="F73" s="1">
        <v>382</v>
      </c>
      <c r="G73" s="1">
        <v>15</v>
      </c>
      <c r="H73" s="7">
        <f>Data[[#This Row],[Compliance_Violations]]/Data[[#This Row],[Total_Audit_Engagements]]</f>
        <v>3.1354515050167225E-3</v>
      </c>
      <c r="I73" s="1">
        <v>73</v>
      </c>
      <c r="J73" s="1">
        <v>59</v>
      </c>
      <c r="K73" s="8">
        <f>Data[[#This Row],[Fraud_Cases_Detected]]/Data[[#This Row],[Employee_Workload]]</f>
        <v>1.2372881355932204</v>
      </c>
      <c r="L73" s="1" t="str">
        <f>IF(Data[[#This Row],[Employee_Workload]]&lt;=45, "Low", IF(Data[[#This Row],[Employee_Workload]]&lt;=65, "Medium", "High"))</f>
        <v>Medium</v>
      </c>
      <c r="M73" s="1">
        <v>6.7</v>
      </c>
      <c r="N73" s="1">
        <v>10</v>
      </c>
      <c r="O73" s="3">
        <v>268670000</v>
      </c>
    </row>
    <row r="74" spans="1:15" x14ac:dyDescent="0.25">
      <c r="A74" s="1">
        <v>2020</v>
      </c>
      <c r="B74" s="1" t="s">
        <v>33</v>
      </c>
      <c r="C74" s="1" t="s">
        <v>30</v>
      </c>
      <c r="D74" s="1" t="s">
        <v>26</v>
      </c>
      <c r="E74" s="1">
        <v>2861</v>
      </c>
      <c r="F74" s="1">
        <v>433</v>
      </c>
      <c r="G74" s="1">
        <v>139</v>
      </c>
      <c r="H74" s="7">
        <f>Data[[#This Row],[Compliance_Violations]]/Data[[#This Row],[Total_Audit_Engagements]]</f>
        <v>4.8584411045089128E-2</v>
      </c>
      <c r="I74" s="1">
        <v>71</v>
      </c>
      <c r="J74" s="1">
        <v>49</v>
      </c>
      <c r="K74" s="8">
        <f>Data[[#This Row],[Fraud_Cases_Detected]]/Data[[#This Row],[Employee_Workload]]</f>
        <v>1.4489795918367347</v>
      </c>
      <c r="L74" s="1" t="str">
        <f>IF(Data[[#This Row],[Employee_Workload]]&lt;=45, "Low", IF(Data[[#This Row],[Employee_Workload]]&lt;=65, "Medium", "High"))</f>
        <v>Medium</v>
      </c>
      <c r="M74" s="1">
        <v>9.1999999999999993</v>
      </c>
      <c r="N74" s="1">
        <v>9</v>
      </c>
      <c r="O74" s="3">
        <v>381610000</v>
      </c>
    </row>
    <row r="75" spans="1:15" x14ac:dyDescent="0.25">
      <c r="A75" s="1">
        <v>2023</v>
      </c>
      <c r="B75" s="1" t="s">
        <v>33</v>
      </c>
      <c r="C75" s="1" t="s">
        <v>29</v>
      </c>
      <c r="D75" s="1" t="s">
        <v>28</v>
      </c>
      <c r="E75" s="1">
        <v>3616</v>
      </c>
      <c r="F75" s="1">
        <v>330</v>
      </c>
      <c r="G75" s="1">
        <v>71</v>
      </c>
      <c r="H75" s="7">
        <f>Data[[#This Row],[Compliance_Violations]]/Data[[#This Row],[Total_Audit_Engagements]]</f>
        <v>1.9634955752212389E-2</v>
      </c>
      <c r="I75" s="1">
        <v>67</v>
      </c>
      <c r="J75" s="1">
        <v>75</v>
      </c>
      <c r="K75" s="8">
        <f>Data[[#This Row],[Fraud_Cases_Detected]]/Data[[#This Row],[Employee_Workload]]</f>
        <v>0.89333333333333331</v>
      </c>
      <c r="L75" s="1" t="str">
        <f>IF(Data[[#This Row],[Employee_Workload]]&lt;=45, "Low", IF(Data[[#This Row],[Employee_Workload]]&lt;=65, "Medium", "High"))</f>
        <v>High</v>
      </c>
      <c r="M75" s="1">
        <v>8.8000000000000007</v>
      </c>
      <c r="N75" s="1">
        <v>5.4</v>
      </c>
      <c r="O75" s="3">
        <v>130850000</v>
      </c>
    </row>
    <row r="76" spans="1:15" x14ac:dyDescent="0.25">
      <c r="A76" s="1">
        <v>2025</v>
      </c>
      <c r="B76" s="1" t="s">
        <v>32</v>
      </c>
      <c r="C76" s="1" t="s">
        <v>29</v>
      </c>
      <c r="D76" s="1" t="s">
        <v>28</v>
      </c>
      <c r="E76" s="1">
        <v>4452</v>
      </c>
      <c r="F76" s="1">
        <v>345</v>
      </c>
      <c r="G76" s="1">
        <v>38</v>
      </c>
      <c r="H76" s="7">
        <f>Data[[#This Row],[Compliance_Violations]]/Data[[#This Row],[Total_Audit_Engagements]]</f>
        <v>8.5354896675651389E-3</v>
      </c>
      <c r="I76" s="1">
        <v>82</v>
      </c>
      <c r="J76" s="1">
        <v>78</v>
      </c>
      <c r="K76" s="8">
        <f>Data[[#This Row],[Fraud_Cases_Detected]]/Data[[#This Row],[Employee_Workload]]</f>
        <v>1.0512820512820513</v>
      </c>
      <c r="L76" s="1" t="str">
        <f>IF(Data[[#This Row],[Employee_Workload]]&lt;=45, "Low", IF(Data[[#This Row],[Employee_Workload]]&lt;=65, "Medium", "High"))</f>
        <v>High</v>
      </c>
      <c r="M76" s="1">
        <v>9.6</v>
      </c>
      <c r="N76" s="1">
        <v>7.4</v>
      </c>
      <c r="O76" s="3">
        <v>291770000</v>
      </c>
    </row>
    <row r="77" spans="1:15" x14ac:dyDescent="0.25">
      <c r="A77" s="1">
        <v>2021</v>
      </c>
      <c r="B77" s="1" t="s">
        <v>24</v>
      </c>
      <c r="C77" s="1" t="s">
        <v>31</v>
      </c>
      <c r="D77" s="1" t="s">
        <v>28</v>
      </c>
      <c r="E77" s="1">
        <v>1078</v>
      </c>
      <c r="F77" s="1">
        <v>395</v>
      </c>
      <c r="G77" s="1">
        <v>58</v>
      </c>
      <c r="H77" s="7">
        <f>Data[[#This Row],[Compliance_Violations]]/Data[[#This Row],[Total_Audit_Engagements]]</f>
        <v>5.3803339517625233E-2</v>
      </c>
      <c r="I77" s="1">
        <v>5</v>
      </c>
      <c r="J77" s="1">
        <v>62</v>
      </c>
      <c r="K77" s="8">
        <f>Data[[#This Row],[Fraud_Cases_Detected]]/Data[[#This Row],[Employee_Workload]]</f>
        <v>8.0645161290322578E-2</v>
      </c>
      <c r="L77" s="1" t="str">
        <f>IF(Data[[#This Row],[Employee_Workload]]&lt;=45, "Low", IF(Data[[#This Row],[Employee_Workload]]&lt;=65, "Medium", "High"))</f>
        <v>Medium</v>
      </c>
      <c r="M77" s="1">
        <v>7.3</v>
      </c>
      <c r="N77" s="1">
        <v>5.9</v>
      </c>
      <c r="O77" s="3">
        <v>139480000</v>
      </c>
    </row>
    <row r="78" spans="1:15" x14ac:dyDescent="0.25">
      <c r="A78" s="1">
        <v>2020</v>
      </c>
      <c r="B78" s="1" t="s">
        <v>32</v>
      </c>
      <c r="C78" s="1" t="s">
        <v>31</v>
      </c>
      <c r="D78" s="1" t="s">
        <v>26</v>
      </c>
      <c r="E78" s="1">
        <v>1286</v>
      </c>
      <c r="F78" s="1">
        <v>391</v>
      </c>
      <c r="G78" s="1">
        <v>47</v>
      </c>
      <c r="H78" s="7">
        <f>Data[[#This Row],[Compliance_Violations]]/Data[[#This Row],[Total_Audit_Engagements]]</f>
        <v>3.6547433903576981E-2</v>
      </c>
      <c r="I78" s="1">
        <v>60</v>
      </c>
      <c r="J78" s="1">
        <v>48</v>
      </c>
      <c r="K78" s="8">
        <f>Data[[#This Row],[Fraud_Cases_Detected]]/Data[[#This Row],[Employee_Workload]]</f>
        <v>1.25</v>
      </c>
      <c r="L78" s="1" t="str">
        <f>IF(Data[[#This Row],[Employee_Workload]]&lt;=45, "Low", IF(Data[[#This Row],[Employee_Workload]]&lt;=65, "Medium", "High"))</f>
        <v>Medium</v>
      </c>
      <c r="M78" s="1">
        <v>6.5</v>
      </c>
      <c r="N78" s="1">
        <v>5.9</v>
      </c>
      <c r="O78" s="3">
        <v>85460000</v>
      </c>
    </row>
    <row r="79" spans="1:15" x14ac:dyDescent="0.25">
      <c r="A79" s="1">
        <v>2024</v>
      </c>
      <c r="B79" s="1" t="s">
        <v>24</v>
      </c>
      <c r="C79" s="1" t="s">
        <v>31</v>
      </c>
      <c r="D79" s="1" t="s">
        <v>26</v>
      </c>
      <c r="E79" s="1">
        <v>1574</v>
      </c>
      <c r="F79" s="1">
        <v>391</v>
      </c>
      <c r="G79" s="1">
        <v>19</v>
      </c>
      <c r="H79" s="7">
        <f>Data[[#This Row],[Compliance_Violations]]/Data[[#This Row],[Total_Audit_Engagements]]</f>
        <v>1.207115628970775E-2</v>
      </c>
      <c r="I79" s="1">
        <v>50</v>
      </c>
      <c r="J79" s="1">
        <v>74</v>
      </c>
      <c r="K79" s="8">
        <f>Data[[#This Row],[Fraud_Cases_Detected]]/Data[[#This Row],[Employee_Workload]]</f>
        <v>0.67567567567567566</v>
      </c>
      <c r="L79" s="1" t="str">
        <f>IF(Data[[#This Row],[Employee_Workload]]&lt;=45, "Low", IF(Data[[#This Row],[Employee_Workload]]&lt;=65, "Medium", "High"))</f>
        <v>High</v>
      </c>
      <c r="M79" s="1">
        <v>8.3000000000000007</v>
      </c>
      <c r="N79" s="1">
        <v>5.3</v>
      </c>
      <c r="O79" s="3">
        <v>240870000</v>
      </c>
    </row>
    <row r="80" spans="1:15" x14ac:dyDescent="0.25">
      <c r="A80" s="1">
        <v>2024</v>
      </c>
      <c r="B80" s="1" t="s">
        <v>24</v>
      </c>
      <c r="C80" s="1" t="s">
        <v>30</v>
      </c>
      <c r="D80" s="1" t="s">
        <v>28</v>
      </c>
      <c r="E80" s="1">
        <v>1076</v>
      </c>
      <c r="F80" s="1">
        <v>86</v>
      </c>
      <c r="G80" s="1">
        <v>67</v>
      </c>
      <c r="H80" s="7">
        <f>Data[[#This Row],[Compliance_Violations]]/Data[[#This Row],[Total_Audit_Engagements]]</f>
        <v>6.2267657992565055E-2</v>
      </c>
      <c r="I80" s="1">
        <v>17</v>
      </c>
      <c r="J80" s="1">
        <v>62</v>
      </c>
      <c r="K80" s="8">
        <f>Data[[#This Row],[Fraud_Cases_Detected]]/Data[[#This Row],[Employee_Workload]]</f>
        <v>0.27419354838709675</v>
      </c>
      <c r="L80" s="1" t="str">
        <f>IF(Data[[#This Row],[Employee_Workload]]&lt;=45, "Low", IF(Data[[#This Row],[Employee_Workload]]&lt;=65, "Medium", "High"))</f>
        <v>Medium</v>
      </c>
      <c r="M80" s="1">
        <v>7.9</v>
      </c>
      <c r="N80" s="1">
        <v>9.9</v>
      </c>
      <c r="O80" s="3">
        <v>206470000</v>
      </c>
    </row>
    <row r="81" spans="1:15" x14ac:dyDescent="0.25">
      <c r="A81" s="1">
        <v>2021</v>
      </c>
      <c r="B81" s="1" t="s">
        <v>27</v>
      </c>
      <c r="C81" s="1" t="s">
        <v>31</v>
      </c>
      <c r="D81" s="1" t="s">
        <v>26</v>
      </c>
      <c r="E81" s="1">
        <v>3305</v>
      </c>
      <c r="F81" s="1">
        <v>226</v>
      </c>
      <c r="G81" s="1">
        <v>132</v>
      </c>
      <c r="H81" s="7">
        <f>Data[[#This Row],[Compliance_Violations]]/Data[[#This Row],[Total_Audit_Engagements]]</f>
        <v>3.9939485627836613E-2</v>
      </c>
      <c r="I81" s="1">
        <v>81</v>
      </c>
      <c r="J81" s="1">
        <v>73</v>
      </c>
      <c r="K81" s="8">
        <f>Data[[#This Row],[Fraud_Cases_Detected]]/Data[[#This Row],[Employee_Workload]]</f>
        <v>1.1095890410958904</v>
      </c>
      <c r="L81" s="1" t="str">
        <f>IF(Data[[#This Row],[Employee_Workload]]&lt;=45, "Low", IF(Data[[#This Row],[Employee_Workload]]&lt;=65, "Medium", "High"))</f>
        <v>High</v>
      </c>
      <c r="M81" s="1">
        <v>5.5</v>
      </c>
      <c r="N81" s="1">
        <v>7.6</v>
      </c>
      <c r="O81" s="3">
        <v>403020000</v>
      </c>
    </row>
    <row r="82" spans="1:15" x14ac:dyDescent="0.25">
      <c r="A82" s="1">
        <v>2020</v>
      </c>
      <c r="B82" s="1" t="s">
        <v>27</v>
      </c>
      <c r="C82" s="1" t="s">
        <v>25</v>
      </c>
      <c r="D82" s="1" t="s">
        <v>26</v>
      </c>
      <c r="E82" s="1">
        <v>912</v>
      </c>
      <c r="F82" s="1">
        <v>481</v>
      </c>
      <c r="G82" s="1">
        <v>200</v>
      </c>
      <c r="H82" s="7">
        <f>Data[[#This Row],[Compliance_Violations]]/Data[[#This Row],[Total_Audit_Engagements]]</f>
        <v>0.21929824561403508</v>
      </c>
      <c r="I82" s="1">
        <v>20</v>
      </c>
      <c r="J82" s="1">
        <v>66</v>
      </c>
      <c r="K82" s="8">
        <f>Data[[#This Row],[Fraud_Cases_Detected]]/Data[[#This Row],[Employee_Workload]]</f>
        <v>0.30303030303030304</v>
      </c>
      <c r="L82" s="1" t="str">
        <f>IF(Data[[#This Row],[Employee_Workload]]&lt;=45, "Low", IF(Data[[#This Row],[Employee_Workload]]&lt;=65, "Medium", "High"))</f>
        <v>High</v>
      </c>
      <c r="M82" s="1">
        <v>8.6</v>
      </c>
      <c r="N82" s="1">
        <v>9.3000000000000007</v>
      </c>
      <c r="O82" s="3">
        <v>83610000</v>
      </c>
    </row>
    <row r="83" spans="1:15" x14ac:dyDescent="0.25">
      <c r="A83" s="1">
        <v>2022</v>
      </c>
      <c r="B83" s="1" t="s">
        <v>32</v>
      </c>
      <c r="C83" s="1" t="s">
        <v>30</v>
      </c>
      <c r="D83" s="1" t="s">
        <v>26</v>
      </c>
      <c r="E83" s="1">
        <v>1516</v>
      </c>
      <c r="F83" s="1">
        <v>242</v>
      </c>
      <c r="G83" s="1">
        <v>134</v>
      </c>
      <c r="H83" s="7">
        <f>Data[[#This Row],[Compliance_Violations]]/Data[[#This Row],[Total_Audit_Engagements]]</f>
        <v>8.8390501319261211E-2</v>
      </c>
      <c r="I83" s="1">
        <v>37</v>
      </c>
      <c r="J83" s="1">
        <v>79</v>
      </c>
      <c r="K83" s="8">
        <f>Data[[#This Row],[Fraud_Cases_Detected]]/Data[[#This Row],[Employee_Workload]]</f>
        <v>0.46835443037974683</v>
      </c>
      <c r="L83" s="1" t="str">
        <f>IF(Data[[#This Row],[Employee_Workload]]&lt;=45, "Low", IF(Data[[#This Row],[Employee_Workload]]&lt;=65, "Medium", "High"))</f>
        <v>High</v>
      </c>
      <c r="M83" s="1">
        <v>5.6</v>
      </c>
      <c r="N83" s="1">
        <v>6.5</v>
      </c>
      <c r="O83" s="3">
        <v>339080000</v>
      </c>
    </row>
    <row r="84" spans="1:15" x14ac:dyDescent="0.25">
      <c r="A84" s="1">
        <v>2022</v>
      </c>
      <c r="B84" s="1" t="s">
        <v>33</v>
      </c>
      <c r="C84" s="1" t="s">
        <v>31</v>
      </c>
      <c r="D84" s="1" t="s">
        <v>26</v>
      </c>
      <c r="E84" s="1">
        <v>1012</v>
      </c>
      <c r="F84" s="1">
        <v>302</v>
      </c>
      <c r="G84" s="1">
        <v>124</v>
      </c>
      <c r="H84" s="7">
        <f>Data[[#This Row],[Compliance_Violations]]/Data[[#This Row],[Total_Audit_Engagements]]</f>
        <v>0.1225296442687747</v>
      </c>
      <c r="I84" s="1">
        <v>35</v>
      </c>
      <c r="J84" s="1">
        <v>73</v>
      </c>
      <c r="K84" s="8">
        <f>Data[[#This Row],[Fraud_Cases_Detected]]/Data[[#This Row],[Employee_Workload]]</f>
        <v>0.47945205479452052</v>
      </c>
      <c r="L84" s="1" t="str">
        <f>IF(Data[[#This Row],[Employee_Workload]]&lt;=45, "Low", IF(Data[[#This Row],[Employee_Workload]]&lt;=65, "Medium", "High"))</f>
        <v>High</v>
      </c>
      <c r="M84" s="1">
        <v>7.7</v>
      </c>
      <c r="N84" s="1">
        <v>5.3</v>
      </c>
      <c r="O84" s="3">
        <v>276300000</v>
      </c>
    </row>
    <row r="85" spans="1:15" x14ac:dyDescent="0.25">
      <c r="A85" s="1">
        <v>2023</v>
      </c>
      <c r="B85" s="1" t="s">
        <v>33</v>
      </c>
      <c r="C85" s="1" t="s">
        <v>30</v>
      </c>
      <c r="D85" s="1" t="s">
        <v>26</v>
      </c>
      <c r="E85" s="1">
        <v>3230</v>
      </c>
      <c r="F85" s="1">
        <v>290</v>
      </c>
      <c r="G85" s="1">
        <v>121</v>
      </c>
      <c r="H85" s="7">
        <f>Data[[#This Row],[Compliance_Violations]]/Data[[#This Row],[Total_Audit_Engagements]]</f>
        <v>3.7461300309597524E-2</v>
      </c>
      <c r="I85" s="1">
        <v>91</v>
      </c>
      <c r="J85" s="1">
        <v>59</v>
      </c>
      <c r="K85" s="8">
        <f>Data[[#This Row],[Fraud_Cases_Detected]]/Data[[#This Row],[Employee_Workload]]</f>
        <v>1.5423728813559323</v>
      </c>
      <c r="L85" s="1" t="str">
        <f>IF(Data[[#This Row],[Employee_Workload]]&lt;=45, "Low", IF(Data[[#This Row],[Employee_Workload]]&lt;=65, "Medium", "High"))</f>
        <v>Medium</v>
      </c>
      <c r="M85" s="1">
        <v>7.2</v>
      </c>
      <c r="N85" s="1">
        <v>9.1</v>
      </c>
      <c r="O85" s="3">
        <v>435760000</v>
      </c>
    </row>
    <row r="86" spans="1:15" x14ac:dyDescent="0.25">
      <c r="A86" s="1">
        <v>2021</v>
      </c>
      <c r="B86" s="1" t="s">
        <v>33</v>
      </c>
      <c r="C86" s="1" t="s">
        <v>30</v>
      </c>
      <c r="D86" s="1" t="s">
        <v>26</v>
      </c>
      <c r="E86" s="1">
        <v>2503</v>
      </c>
      <c r="F86" s="1">
        <v>425</v>
      </c>
      <c r="G86" s="1">
        <v>45</v>
      </c>
      <c r="H86" s="7">
        <f>Data[[#This Row],[Compliance_Violations]]/Data[[#This Row],[Total_Audit_Engagements]]</f>
        <v>1.797842588893328E-2</v>
      </c>
      <c r="I86" s="1">
        <v>62</v>
      </c>
      <c r="J86" s="1">
        <v>69</v>
      </c>
      <c r="K86" s="8">
        <f>Data[[#This Row],[Fraud_Cases_Detected]]/Data[[#This Row],[Employee_Workload]]</f>
        <v>0.89855072463768115</v>
      </c>
      <c r="L86" s="1" t="str">
        <f>IF(Data[[#This Row],[Employee_Workload]]&lt;=45, "Low", IF(Data[[#This Row],[Employee_Workload]]&lt;=65, "Medium", "High"))</f>
        <v>High</v>
      </c>
      <c r="M86" s="1">
        <v>7.4</v>
      </c>
      <c r="N86" s="1">
        <v>6.5</v>
      </c>
      <c r="O86" s="3">
        <v>228150000</v>
      </c>
    </row>
    <row r="87" spans="1:15" x14ac:dyDescent="0.25">
      <c r="A87" s="1">
        <v>2020</v>
      </c>
      <c r="B87" s="1" t="s">
        <v>24</v>
      </c>
      <c r="C87" s="1" t="s">
        <v>31</v>
      </c>
      <c r="D87" s="1" t="s">
        <v>26</v>
      </c>
      <c r="E87" s="1">
        <v>4946</v>
      </c>
      <c r="F87" s="1">
        <v>78</v>
      </c>
      <c r="G87" s="1">
        <v>90</v>
      </c>
      <c r="H87" s="7">
        <f>Data[[#This Row],[Compliance_Violations]]/Data[[#This Row],[Total_Audit_Engagements]]</f>
        <v>1.8196522442377679E-2</v>
      </c>
      <c r="I87" s="1">
        <v>66</v>
      </c>
      <c r="J87" s="1">
        <v>40</v>
      </c>
      <c r="K87" s="8">
        <f>Data[[#This Row],[Fraud_Cases_Detected]]/Data[[#This Row],[Employee_Workload]]</f>
        <v>1.65</v>
      </c>
      <c r="L87" s="1" t="str">
        <f>IF(Data[[#This Row],[Employee_Workload]]&lt;=45, "Low", IF(Data[[#This Row],[Employee_Workload]]&lt;=65, "Medium", "High"))</f>
        <v>Low</v>
      </c>
      <c r="M87" s="1">
        <v>5.4</v>
      </c>
      <c r="N87" s="1">
        <v>8.6999999999999993</v>
      </c>
      <c r="O87" s="3">
        <v>106930000</v>
      </c>
    </row>
    <row r="88" spans="1:15" x14ac:dyDescent="0.25">
      <c r="A88" s="1">
        <v>2025</v>
      </c>
      <c r="B88" s="1" t="s">
        <v>24</v>
      </c>
      <c r="C88" s="1" t="s">
        <v>31</v>
      </c>
      <c r="D88" s="1" t="s">
        <v>26</v>
      </c>
      <c r="E88" s="1">
        <v>4606</v>
      </c>
      <c r="F88" s="1">
        <v>221</v>
      </c>
      <c r="G88" s="1">
        <v>158</v>
      </c>
      <c r="H88" s="7">
        <f>Data[[#This Row],[Compliance_Violations]]/Data[[#This Row],[Total_Audit_Engagements]]</f>
        <v>3.4303082935301779E-2</v>
      </c>
      <c r="I88" s="1">
        <v>90</v>
      </c>
      <c r="J88" s="1">
        <v>45</v>
      </c>
      <c r="K88" s="8">
        <f>Data[[#This Row],[Fraud_Cases_Detected]]/Data[[#This Row],[Employee_Workload]]</f>
        <v>2</v>
      </c>
      <c r="L88" s="1" t="str">
        <f>IF(Data[[#This Row],[Employee_Workload]]&lt;=45, "Low", IF(Data[[#This Row],[Employee_Workload]]&lt;=65, "Medium", "High"))</f>
        <v>Low</v>
      </c>
      <c r="M88" s="1">
        <v>7.6</v>
      </c>
      <c r="N88" s="1">
        <v>6.1</v>
      </c>
      <c r="O88" s="3">
        <v>382670000</v>
      </c>
    </row>
    <row r="89" spans="1:15" x14ac:dyDescent="0.25">
      <c r="A89" s="1">
        <v>2025</v>
      </c>
      <c r="B89" s="1" t="s">
        <v>24</v>
      </c>
      <c r="C89" s="1" t="s">
        <v>31</v>
      </c>
      <c r="D89" s="1" t="s">
        <v>28</v>
      </c>
      <c r="E89" s="1">
        <v>1771</v>
      </c>
      <c r="F89" s="1">
        <v>158</v>
      </c>
      <c r="G89" s="1">
        <v>73</v>
      </c>
      <c r="H89" s="7">
        <f>Data[[#This Row],[Compliance_Violations]]/Data[[#This Row],[Total_Audit_Engagements]]</f>
        <v>4.1219649915302088E-2</v>
      </c>
      <c r="I89" s="1">
        <v>33</v>
      </c>
      <c r="J89" s="1">
        <v>68</v>
      </c>
      <c r="K89" s="8">
        <f>Data[[#This Row],[Fraud_Cases_Detected]]/Data[[#This Row],[Employee_Workload]]</f>
        <v>0.48529411764705882</v>
      </c>
      <c r="L89" s="1" t="str">
        <f>IF(Data[[#This Row],[Employee_Workload]]&lt;=45, "Low", IF(Data[[#This Row],[Employee_Workload]]&lt;=65, "Medium", "High"))</f>
        <v>High</v>
      </c>
      <c r="M89" s="1">
        <v>9.8000000000000007</v>
      </c>
      <c r="N89" s="1">
        <v>8.4</v>
      </c>
      <c r="O89" s="3">
        <v>485640000</v>
      </c>
    </row>
    <row r="90" spans="1:15" x14ac:dyDescent="0.25">
      <c r="A90" s="1">
        <v>2024</v>
      </c>
      <c r="B90" s="1" t="s">
        <v>24</v>
      </c>
      <c r="C90" s="1" t="s">
        <v>29</v>
      </c>
      <c r="D90" s="1" t="s">
        <v>28</v>
      </c>
      <c r="E90" s="1">
        <v>2676</v>
      </c>
      <c r="F90" s="1">
        <v>176</v>
      </c>
      <c r="G90" s="1">
        <v>36</v>
      </c>
      <c r="H90" s="7">
        <f>Data[[#This Row],[Compliance_Violations]]/Data[[#This Row],[Total_Audit_Engagements]]</f>
        <v>1.3452914798206279E-2</v>
      </c>
      <c r="I90" s="1">
        <v>82</v>
      </c>
      <c r="J90" s="1">
        <v>56</v>
      </c>
      <c r="K90" s="8">
        <f>Data[[#This Row],[Fraud_Cases_Detected]]/Data[[#This Row],[Employee_Workload]]</f>
        <v>1.4642857142857142</v>
      </c>
      <c r="L90" s="1" t="str">
        <f>IF(Data[[#This Row],[Employee_Workload]]&lt;=45, "Low", IF(Data[[#This Row],[Employee_Workload]]&lt;=65, "Medium", "High"))</f>
        <v>Medium</v>
      </c>
      <c r="M90" s="1">
        <v>9.5</v>
      </c>
      <c r="N90" s="1">
        <v>7.9</v>
      </c>
      <c r="O90" s="3">
        <v>362310000</v>
      </c>
    </row>
    <row r="91" spans="1:15" x14ac:dyDescent="0.25">
      <c r="A91" s="1">
        <v>2022</v>
      </c>
      <c r="B91" s="1" t="s">
        <v>27</v>
      </c>
      <c r="C91" s="1" t="s">
        <v>29</v>
      </c>
      <c r="D91" s="1" t="s">
        <v>28</v>
      </c>
      <c r="E91" s="1">
        <v>962</v>
      </c>
      <c r="F91" s="1">
        <v>356</v>
      </c>
      <c r="G91" s="1">
        <v>155</v>
      </c>
      <c r="H91" s="7">
        <f>Data[[#This Row],[Compliance_Violations]]/Data[[#This Row],[Total_Audit_Engagements]]</f>
        <v>0.16112266112266113</v>
      </c>
      <c r="I91" s="1">
        <v>21</v>
      </c>
      <c r="J91" s="1">
        <v>60</v>
      </c>
      <c r="K91" s="8">
        <f>Data[[#This Row],[Fraud_Cases_Detected]]/Data[[#This Row],[Employee_Workload]]</f>
        <v>0.35</v>
      </c>
      <c r="L91" s="1" t="str">
        <f>IF(Data[[#This Row],[Employee_Workload]]&lt;=45, "Low", IF(Data[[#This Row],[Employee_Workload]]&lt;=65, "Medium", "High"))</f>
        <v>Medium</v>
      </c>
      <c r="M91" s="1">
        <v>9.1</v>
      </c>
      <c r="N91" s="1">
        <v>5.9</v>
      </c>
      <c r="O91" s="3">
        <v>54070000</v>
      </c>
    </row>
    <row r="92" spans="1:15" x14ac:dyDescent="0.25">
      <c r="A92" s="1">
        <v>2020</v>
      </c>
      <c r="B92" s="1" t="s">
        <v>27</v>
      </c>
      <c r="C92" s="1" t="s">
        <v>31</v>
      </c>
      <c r="D92" s="1" t="s">
        <v>26</v>
      </c>
      <c r="E92" s="1">
        <v>1925</v>
      </c>
      <c r="F92" s="1">
        <v>189</v>
      </c>
      <c r="G92" s="1">
        <v>39</v>
      </c>
      <c r="H92" s="7">
        <f>Data[[#This Row],[Compliance_Violations]]/Data[[#This Row],[Total_Audit_Engagements]]</f>
        <v>2.0259740259740259E-2</v>
      </c>
      <c r="I92" s="1">
        <v>52</v>
      </c>
      <c r="J92" s="1">
        <v>70</v>
      </c>
      <c r="K92" s="8">
        <f>Data[[#This Row],[Fraud_Cases_Detected]]/Data[[#This Row],[Employee_Workload]]</f>
        <v>0.74285714285714288</v>
      </c>
      <c r="L92" s="1" t="str">
        <f>IF(Data[[#This Row],[Employee_Workload]]&lt;=45, "Low", IF(Data[[#This Row],[Employee_Workload]]&lt;=65, "Medium", "High"))</f>
        <v>High</v>
      </c>
      <c r="M92" s="1">
        <v>9.4</v>
      </c>
      <c r="N92" s="1">
        <v>6.4</v>
      </c>
      <c r="O92" s="3">
        <v>118920000</v>
      </c>
    </row>
    <row r="93" spans="1:15" x14ac:dyDescent="0.25">
      <c r="A93" s="1">
        <v>2023</v>
      </c>
      <c r="B93" s="1" t="s">
        <v>33</v>
      </c>
      <c r="C93" s="1" t="s">
        <v>31</v>
      </c>
      <c r="D93" s="1" t="s">
        <v>28</v>
      </c>
      <c r="E93" s="1">
        <v>2919</v>
      </c>
      <c r="F93" s="1">
        <v>453</v>
      </c>
      <c r="G93" s="1">
        <v>35</v>
      </c>
      <c r="H93" s="7">
        <f>Data[[#This Row],[Compliance_Violations]]/Data[[#This Row],[Total_Audit_Engagements]]</f>
        <v>1.1990407673860911E-2</v>
      </c>
      <c r="I93" s="1">
        <v>99</v>
      </c>
      <c r="J93" s="1">
        <v>47</v>
      </c>
      <c r="K93" s="8">
        <f>Data[[#This Row],[Fraud_Cases_Detected]]/Data[[#This Row],[Employee_Workload]]</f>
        <v>2.1063829787234041</v>
      </c>
      <c r="L93" s="1" t="str">
        <f>IF(Data[[#This Row],[Employee_Workload]]&lt;=45, "Low", IF(Data[[#This Row],[Employee_Workload]]&lt;=65, "Medium", "High"))</f>
        <v>Medium</v>
      </c>
      <c r="M93" s="1">
        <v>8</v>
      </c>
      <c r="N93" s="1">
        <v>5.0999999999999996</v>
      </c>
      <c r="O93" s="3">
        <v>95680000</v>
      </c>
    </row>
    <row r="94" spans="1:15" x14ac:dyDescent="0.25">
      <c r="A94" s="1">
        <v>2022</v>
      </c>
      <c r="B94" s="1" t="s">
        <v>24</v>
      </c>
      <c r="C94" s="1" t="s">
        <v>30</v>
      </c>
      <c r="D94" s="1" t="s">
        <v>26</v>
      </c>
      <c r="E94" s="1">
        <v>4595</v>
      </c>
      <c r="F94" s="1">
        <v>481</v>
      </c>
      <c r="G94" s="1">
        <v>173</v>
      </c>
      <c r="H94" s="7">
        <f>Data[[#This Row],[Compliance_Violations]]/Data[[#This Row],[Total_Audit_Engagements]]</f>
        <v>3.7649619151251361E-2</v>
      </c>
      <c r="I94" s="1">
        <v>54</v>
      </c>
      <c r="J94" s="1">
        <v>48</v>
      </c>
      <c r="K94" s="8">
        <f>Data[[#This Row],[Fraud_Cases_Detected]]/Data[[#This Row],[Employee_Workload]]</f>
        <v>1.125</v>
      </c>
      <c r="L94" s="1" t="str">
        <f>IF(Data[[#This Row],[Employee_Workload]]&lt;=45, "Low", IF(Data[[#This Row],[Employee_Workload]]&lt;=65, "Medium", "High"))</f>
        <v>Medium</v>
      </c>
      <c r="M94" s="1">
        <v>8.6</v>
      </c>
      <c r="N94" s="1">
        <v>6.5</v>
      </c>
      <c r="O94" s="3">
        <v>454650000</v>
      </c>
    </row>
    <row r="95" spans="1:15" x14ac:dyDescent="0.25">
      <c r="A95" s="1">
        <v>2021</v>
      </c>
      <c r="B95" s="1" t="s">
        <v>27</v>
      </c>
      <c r="C95" s="1" t="s">
        <v>29</v>
      </c>
      <c r="D95" s="1" t="s">
        <v>26</v>
      </c>
      <c r="E95" s="1">
        <v>797</v>
      </c>
      <c r="F95" s="1">
        <v>133</v>
      </c>
      <c r="G95" s="1">
        <v>46</v>
      </c>
      <c r="H95" s="7">
        <f>Data[[#This Row],[Compliance_Violations]]/Data[[#This Row],[Total_Audit_Engagements]]</f>
        <v>5.7716436637390213E-2</v>
      </c>
      <c r="I95" s="1">
        <v>27</v>
      </c>
      <c r="J95" s="1">
        <v>77</v>
      </c>
      <c r="K95" s="8">
        <f>Data[[#This Row],[Fraud_Cases_Detected]]/Data[[#This Row],[Employee_Workload]]</f>
        <v>0.35064935064935066</v>
      </c>
      <c r="L95" s="1" t="str">
        <f>IF(Data[[#This Row],[Employee_Workload]]&lt;=45, "Low", IF(Data[[#This Row],[Employee_Workload]]&lt;=65, "Medium", "High"))</f>
        <v>High</v>
      </c>
      <c r="M95" s="1">
        <v>6.3</v>
      </c>
      <c r="N95" s="1">
        <v>8.6</v>
      </c>
      <c r="O95" s="3">
        <v>474320000</v>
      </c>
    </row>
    <row r="96" spans="1:15" x14ac:dyDescent="0.25">
      <c r="A96" s="1">
        <v>2023</v>
      </c>
      <c r="B96" s="1" t="s">
        <v>32</v>
      </c>
      <c r="C96" s="1" t="s">
        <v>31</v>
      </c>
      <c r="D96" s="1" t="s">
        <v>26</v>
      </c>
      <c r="E96" s="1">
        <v>4895</v>
      </c>
      <c r="F96" s="1">
        <v>123</v>
      </c>
      <c r="G96" s="1">
        <v>132</v>
      </c>
      <c r="H96" s="7">
        <f>Data[[#This Row],[Compliance_Violations]]/Data[[#This Row],[Total_Audit_Engagements]]</f>
        <v>2.6966292134831461E-2</v>
      </c>
      <c r="I96" s="1">
        <v>10</v>
      </c>
      <c r="J96" s="1">
        <v>48</v>
      </c>
      <c r="K96" s="8">
        <f>Data[[#This Row],[Fraud_Cases_Detected]]/Data[[#This Row],[Employee_Workload]]</f>
        <v>0.20833333333333334</v>
      </c>
      <c r="L96" s="1" t="str">
        <f>IF(Data[[#This Row],[Employee_Workload]]&lt;=45, "Low", IF(Data[[#This Row],[Employee_Workload]]&lt;=65, "Medium", "High"))</f>
        <v>Medium</v>
      </c>
      <c r="M96" s="1">
        <v>9.3000000000000007</v>
      </c>
      <c r="N96" s="1">
        <v>8.4</v>
      </c>
      <c r="O96" s="3">
        <v>389310000</v>
      </c>
    </row>
    <row r="97" spans="1:15" x14ac:dyDescent="0.25">
      <c r="A97" s="1">
        <v>2022</v>
      </c>
      <c r="B97" s="1" t="s">
        <v>33</v>
      </c>
      <c r="C97" s="1" t="s">
        <v>25</v>
      </c>
      <c r="D97" s="1" t="s">
        <v>28</v>
      </c>
      <c r="E97" s="1">
        <v>4179</v>
      </c>
      <c r="F97" s="1">
        <v>77</v>
      </c>
      <c r="G97" s="1">
        <v>58</v>
      </c>
      <c r="H97" s="7">
        <f>Data[[#This Row],[Compliance_Violations]]/Data[[#This Row],[Total_Audit_Engagements]]</f>
        <v>1.3878918401531467E-2</v>
      </c>
      <c r="I97" s="1">
        <v>69</v>
      </c>
      <c r="J97" s="1">
        <v>74</v>
      </c>
      <c r="K97" s="8">
        <f>Data[[#This Row],[Fraud_Cases_Detected]]/Data[[#This Row],[Employee_Workload]]</f>
        <v>0.93243243243243246</v>
      </c>
      <c r="L97" s="1" t="str">
        <f>IF(Data[[#This Row],[Employee_Workload]]&lt;=45, "Low", IF(Data[[#This Row],[Employee_Workload]]&lt;=65, "Medium", "High"))</f>
        <v>High</v>
      </c>
      <c r="M97" s="1">
        <v>7.6</v>
      </c>
      <c r="N97" s="1">
        <v>5.6</v>
      </c>
      <c r="O97" s="3">
        <v>89790000</v>
      </c>
    </row>
    <row r="98" spans="1:15" x14ac:dyDescent="0.25">
      <c r="A98" s="1">
        <v>2020</v>
      </c>
      <c r="B98" s="1" t="s">
        <v>32</v>
      </c>
      <c r="C98" s="1" t="s">
        <v>31</v>
      </c>
      <c r="D98" s="1" t="s">
        <v>26</v>
      </c>
      <c r="E98" s="1">
        <v>2119</v>
      </c>
      <c r="F98" s="1">
        <v>112</v>
      </c>
      <c r="G98" s="1">
        <v>153</v>
      </c>
      <c r="H98" s="7">
        <f>Data[[#This Row],[Compliance_Violations]]/Data[[#This Row],[Total_Audit_Engagements]]</f>
        <v>7.2203869749882021E-2</v>
      </c>
      <c r="I98" s="1">
        <v>59</v>
      </c>
      <c r="J98" s="1">
        <v>42</v>
      </c>
      <c r="K98" s="8">
        <f>Data[[#This Row],[Fraud_Cases_Detected]]/Data[[#This Row],[Employee_Workload]]</f>
        <v>1.4047619047619047</v>
      </c>
      <c r="L98" s="1" t="str">
        <f>IF(Data[[#This Row],[Employee_Workload]]&lt;=45, "Low", IF(Data[[#This Row],[Employee_Workload]]&lt;=65, "Medium", "High"))</f>
        <v>Low</v>
      </c>
      <c r="M98" s="1">
        <v>8.4</v>
      </c>
      <c r="N98" s="1">
        <v>9.3000000000000007</v>
      </c>
      <c r="O98" s="3">
        <v>182060000</v>
      </c>
    </row>
    <row r="99" spans="1:15" x14ac:dyDescent="0.25">
      <c r="A99" s="1">
        <v>2021</v>
      </c>
      <c r="B99" s="1" t="s">
        <v>27</v>
      </c>
      <c r="C99" s="1" t="s">
        <v>25</v>
      </c>
      <c r="D99" s="1" t="s">
        <v>26</v>
      </c>
      <c r="E99" s="1">
        <v>3810</v>
      </c>
      <c r="F99" s="1">
        <v>463</v>
      </c>
      <c r="G99" s="1">
        <v>35</v>
      </c>
      <c r="H99" s="7">
        <f>Data[[#This Row],[Compliance_Violations]]/Data[[#This Row],[Total_Audit_Engagements]]</f>
        <v>9.1863517060367453E-3</v>
      </c>
      <c r="I99" s="1">
        <v>96</v>
      </c>
      <c r="J99" s="1">
        <v>55</v>
      </c>
      <c r="K99" s="8">
        <f>Data[[#This Row],[Fraud_Cases_Detected]]/Data[[#This Row],[Employee_Workload]]</f>
        <v>1.7454545454545454</v>
      </c>
      <c r="L99" s="1" t="str">
        <f>IF(Data[[#This Row],[Employee_Workload]]&lt;=45, "Low", IF(Data[[#This Row],[Employee_Workload]]&lt;=65, "Medium", "High"))</f>
        <v>Medium</v>
      </c>
      <c r="M99" s="1">
        <v>6.4</v>
      </c>
      <c r="N99" s="1">
        <v>6.5</v>
      </c>
      <c r="O99" s="3">
        <v>349040000</v>
      </c>
    </row>
    <row r="100" spans="1:15" x14ac:dyDescent="0.25">
      <c r="A100" s="1">
        <v>2025</v>
      </c>
      <c r="B100" s="1" t="s">
        <v>27</v>
      </c>
      <c r="C100" s="1" t="s">
        <v>29</v>
      </c>
      <c r="D100" s="1" t="s">
        <v>26</v>
      </c>
      <c r="E100" s="1">
        <v>1896</v>
      </c>
      <c r="F100" s="1">
        <v>110</v>
      </c>
      <c r="G100" s="1">
        <v>151</v>
      </c>
      <c r="H100" s="7">
        <f>Data[[#This Row],[Compliance_Violations]]/Data[[#This Row],[Total_Audit_Engagements]]</f>
        <v>7.9641350210970463E-2</v>
      </c>
      <c r="I100" s="1">
        <v>14</v>
      </c>
      <c r="J100" s="1">
        <v>74</v>
      </c>
      <c r="K100" s="8">
        <f>Data[[#This Row],[Fraud_Cases_Detected]]/Data[[#This Row],[Employee_Workload]]</f>
        <v>0.1891891891891892</v>
      </c>
      <c r="L100" s="1" t="str">
        <f>IF(Data[[#This Row],[Employee_Workload]]&lt;=45, "Low", IF(Data[[#This Row],[Employee_Workload]]&lt;=65, "Medium", "High"))</f>
        <v>High</v>
      </c>
      <c r="M100" s="1">
        <v>8.6999999999999993</v>
      </c>
      <c r="N100" s="1">
        <v>7.1</v>
      </c>
      <c r="O100" s="3">
        <v>456080000</v>
      </c>
    </row>
    <row r="101" spans="1:15" x14ac:dyDescent="0.25">
      <c r="A101" s="1">
        <v>2021</v>
      </c>
      <c r="B101" s="1" t="s">
        <v>24</v>
      </c>
      <c r="C101" s="1" t="s">
        <v>29</v>
      </c>
      <c r="D101" s="1" t="s">
        <v>28</v>
      </c>
      <c r="E101" s="1">
        <v>4473</v>
      </c>
      <c r="F101" s="1">
        <v>195</v>
      </c>
      <c r="G101" s="1">
        <v>199</v>
      </c>
      <c r="H101" s="7">
        <f>Data[[#This Row],[Compliance_Violations]]/Data[[#This Row],[Total_Audit_Engagements]]</f>
        <v>4.4489157165213504E-2</v>
      </c>
      <c r="I101" s="1">
        <v>58</v>
      </c>
      <c r="J101" s="1">
        <v>54</v>
      </c>
      <c r="K101" s="8">
        <f>Data[[#This Row],[Fraud_Cases_Detected]]/Data[[#This Row],[Employee_Workload]]</f>
        <v>1.0740740740740742</v>
      </c>
      <c r="L101" s="1" t="str">
        <f>IF(Data[[#This Row],[Employee_Workload]]&lt;=45, "Low", IF(Data[[#This Row],[Employee_Workload]]&lt;=65, "Medium", "High"))</f>
        <v>Medium</v>
      </c>
      <c r="M101" s="1">
        <v>6.4</v>
      </c>
      <c r="N101" s="1">
        <v>7.4</v>
      </c>
      <c r="O101" s="3">
        <v>235120000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8E00E7B7-2A19-48AB-BDDE-D1F21F5CD621}">
  <ds:schemaRefs/>
</ds:datastoreItem>
</file>

<file path=customXml/itemProps2.xml><?xml version="1.0" encoding="utf-8"?>
<ds:datastoreItem xmlns:ds="http://schemas.openxmlformats.org/officeDocument/2006/customXml" ds:itemID="{2592ADA6-F049-40EC-BB81-4DA3C6253A94}">
  <ds:schemaRefs/>
</ds:datastoreItem>
</file>

<file path=customXml/itemProps3.xml><?xml version="1.0" encoding="utf-8"?>
<ds:datastoreItem xmlns:ds="http://schemas.openxmlformats.org/officeDocument/2006/customXml" ds:itemID="{AE6F8B65-DEFD-4262-9FE9-B9D5DADFC6C4}">
  <ds:schemaRefs/>
</ds:datastoreItem>
</file>

<file path=customXml/itemProps4.xml><?xml version="1.0" encoding="utf-8"?>
<ds:datastoreItem xmlns:ds="http://schemas.openxmlformats.org/officeDocument/2006/customXml" ds:itemID="{42C8A22D-484B-483C-A3BB-836EAB6BCF1F}">
  <ds:schemaRefs/>
</ds:datastoreItem>
</file>

<file path=customXml/itemProps5.xml><?xml version="1.0" encoding="utf-8"?>
<ds:datastoreItem xmlns:ds="http://schemas.openxmlformats.org/officeDocument/2006/customXml" ds:itemID="{C2853498-5912-4F93-BC81-6F9FFBA5154C}">
  <ds:schemaRefs/>
</ds:datastoreItem>
</file>

<file path=customXml/itemProps6.xml><?xml version="1.0" encoding="utf-8"?>
<ds:datastoreItem xmlns:ds="http://schemas.openxmlformats.org/officeDocument/2006/customXml" ds:itemID="{CA4F216E-3571-4610-97B1-90921265340C}">
  <ds:schemaRefs/>
</ds:datastoreItem>
</file>

<file path=customXml/itemProps7.xml><?xml version="1.0" encoding="utf-8"?>
<ds:datastoreItem xmlns:ds="http://schemas.openxmlformats.org/officeDocument/2006/customXml" ds:itemID="{5ACCC19F-2297-4589-9408-3465933B7A3F}">
  <ds:schemaRefs/>
</ds:datastoreItem>
</file>

<file path=customXml/itemProps8.xml><?xml version="1.0" encoding="utf-8"?>
<ds:datastoreItem xmlns:ds="http://schemas.openxmlformats.org/officeDocument/2006/customXml" ds:itemID="{B68D9E98-FDCD-44A0-B3DF-A57D000EBA13}">
  <ds:schemaRefs/>
</ds:datastoreItem>
</file>

<file path=customXml/itemProps9.xml><?xml version="1.0" encoding="utf-8"?>
<ds:datastoreItem xmlns:ds="http://schemas.openxmlformats.org/officeDocument/2006/customXml" ds:itemID="{8DF13CD8-4A66-4732-8B18-328AF177E519}">
  <ds:schemaRefs/>
</ds:datastoreItem>
</file>

<file path=customXml/itemProps10.xml><?xml version="1.0" encoding="utf-8"?>
<ds:datastoreItem xmlns:ds="http://schemas.openxmlformats.org/officeDocument/2006/customXml" ds:itemID="{4822E8CB-897D-4A23-81CB-97B08803F47A}">
  <ds:schemaRefs>
    <ds:schemaRef ds:uri="http://schemas.microsoft.com/DataMashup"/>
  </ds:schemaRefs>
</ds:datastoreItem>
</file>

<file path=customXml/itemProps11.xml><?xml version="1.0" encoding="utf-8"?>
<ds:datastoreItem xmlns:ds="http://schemas.openxmlformats.org/officeDocument/2006/customXml" ds:itemID="{3BC67EB4-DFD1-40D3-888F-ADC371596667}">
  <ds:schemaRefs/>
</ds:datastoreItem>
</file>

<file path=customXml/itemProps12.xml><?xml version="1.0" encoding="utf-8"?>
<ds:datastoreItem xmlns:ds="http://schemas.openxmlformats.org/officeDocument/2006/customXml" ds:itemID="{E32BC80A-5F72-4BCF-8C2A-ADDEAC5C21A5}">
  <ds:schemaRefs/>
</ds:datastoreItem>
</file>

<file path=customXml/itemProps13.xml><?xml version="1.0" encoding="utf-8"?>
<ds:datastoreItem xmlns:ds="http://schemas.openxmlformats.org/officeDocument/2006/customXml" ds:itemID="{276EF556-C5DF-47A0-B9C0-A197C3C2CC55}">
  <ds:schemaRefs/>
</ds:datastoreItem>
</file>

<file path=customXml/itemProps14.xml><?xml version="1.0" encoding="utf-8"?>
<ds:datastoreItem xmlns:ds="http://schemas.openxmlformats.org/officeDocument/2006/customXml" ds:itemID="{56E9D185-3063-4EF1-85A9-92C16A73461F}">
  <ds:schemaRefs/>
</ds:datastoreItem>
</file>

<file path=customXml/itemProps15.xml><?xml version="1.0" encoding="utf-8"?>
<ds:datastoreItem xmlns:ds="http://schemas.openxmlformats.org/officeDocument/2006/customXml" ds:itemID="{5645274E-0F03-4881-B20F-A15A96C9852B}">
  <ds:schemaRefs/>
</ds:datastoreItem>
</file>

<file path=customXml/itemProps16.xml><?xml version="1.0" encoding="utf-8"?>
<ds:datastoreItem xmlns:ds="http://schemas.openxmlformats.org/officeDocument/2006/customXml" ds:itemID="{46A16783-DC6B-4BBC-9FD2-35DE160D0409}">
  <ds:schemaRefs/>
</ds:datastoreItem>
</file>

<file path=customXml/itemProps17.xml><?xml version="1.0" encoding="utf-8"?>
<ds:datastoreItem xmlns:ds="http://schemas.openxmlformats.org/officeDocument/2006/customXml" ds:itemID="{397C3E45-076E-440C-ACED-4CE9D009D841}">
  <ds:schemaRefs/>
</ds:datastoreItem>
</file>

<file path=customXml/itemProps18.xml><?xml version="1.0" encoding="utf-8"?>
<ds:datastoreItem xmlns:ds="http://schemas.openxmlformats.org/officeDocument/2006/customXml" ds:itemID="{CEEA6347-0FEA-496E-BA11-8D680136CA0D}">
  <ds:schemaRefs/>
</ds:datastoreItem>
</file>

<file path=customXml/itemProps19.xml><?xml version="1.0" encoding="utf-8"?>
<ds:datastoreItem xmlns:ds="http://schemas.openxmlformats.org/officeDocument/2006/customXml" ds:itemID="{EA644E82-F64F-4C01-B6C6-374B8C977CAD}">
  <ds:schemaRefs/>
</ds:datastoreItem>
</file>

<file path=customXml/itemProps20.xml><?xml version="1.0" encoding="utf-8"?>
<ds:datastoreItem xmlns:ds="http://schemas.openxmlformats.org/officeDocument/2006/customXml" ds:itemID="{6DCB30A0-CE01-4AC2-9891-A29C101B2D4D}">
  <ds:schemaRefs/>
</ds:datastoreItem>
</file>

<file path=customXml/itemProps21.xml><?xml version="1.0" encoding="utf-8"?>
<ds:datastoreItem xmlns:ds="http://schemas.openxmlformats.org/officeDocument/2006/customXml" ds:itemID="{94CA7323-EAB7-4D9C-A220-B2318F1A561E}">
  <ds:schemaRefs/>
</ds:datastoreItem>
</file>

<file path=customXml/itemProps22.xml><?xml version="1.0" encoding="utf-8"?>
<ds:datastoreItem xmlns:ds="http://schemas.openxmlformats.org/officeDocument/2006/customXml" ds:itemID="{60EAF706-2E30-4B7A-ADE0-CA419CD67F27}">
  <ds:schemaRefs/>
</ds:datastoreItem>
</file>

<file path=customXml/itemProps23.xml><?xml version="1.0" encoding="utf-8"?>
<ds:datastoreItem xmlns:ds="http://schemas.openxmlformats.org/officeDocument/2006/customXml" ds:itemID="{C66FD6FF-2F20-4F1A-87B2-30EAADEB4CD5}">
  <ds:schemaRefs/>
</ds:datastoreItem>
</file>

<file path=customXml/itemProps24.xml><?xml version="1.0" encoding="utf-8"?>
<ds:datastoreItem xmlns:ds="http://schemas.openxmlformats.org/officeDocument/2006/customXml" ds:itemID="{6E2FBC7A-F1A8-4C86-8EA1-440773C8502C}">
  <ds:schemaRefs/>
</ds:datastoreItem>
</file>

<file path=customXml/itemProps25.xml><?xml version="1.0" encoding="utf-8"?>
<ds:datastoreItem xmlns:ds="http://schemas.openxmlformats.org/officeDocument/2006/customXml" ds:itemID="{27875DBC-8C9F-47E6-8AB6-97D77DB35148}">
  <ds:schemaRefs/>
</ds:datastoreItem>
</file>

<file path=customXml/itemProps26.xml><?xml version="1.0" encoding="utf-8"?>
<ds:datastoreItem xmlns:ds="http://schemas.openxmlformats.org/officeDocument/2006/customXml" ds:itemID="{0CF20CFB-C627-463E-8AA4-10B157BFCA7A}">
  <ds:schemaRefs/>
</ds:datastoreItem>
</file>

<file path=customXml/itemProps27.xml><?xml version="1.0" encoding="utf-8"?>
<ds:datastoreItem xmlns:ds="http://schemas.openxmlformats.org/officeDocument/2006/customXml" ds:itemID="{F8514529-E89B-42B8-BCA3-7E89508339CB}">
  <ds:schemaRefs/>
</ds:datastoreItem>
</file>

<file path=customXml/itemProps28.xml><?xml version="1.0" encoding="utf-8"?>
<ds:datastoreItem xmlns:ds="http://schemas.openxmlformats.org/officeDocument/2006/customXml" ds:itemID="{8D1DEB7B-62FD-4814-80E3-6948A8E0C227}">
  <ds:schemaRefs/>
</ds:datastoreItem>
</file>

<file path=customXml/itemProps29.xml><?xml version="1.0" encoding="utf-8"?>
<ds:datastoreItem xmlns:ds="http://schemas.openxmlformats.org/officeDocument/2006/customXml" ds:itemID="{3B9D1051-03C4-4629-A1C9-9712EA7BA91A}">
  <ds:schemaRefs/>
</ds:datastoreItem>
</file>

<file path=customXml/itemProps30.xml><?xml version="1.0" encoding="utf-8"?>
<ds:datastoreItem xmlns:ds="http://schemas.openxmlformats.org/officeDocument/2006/customXml" ds:itemID="{7FCF0A1F-402C-4E98-9FAD-3EAC2A3DB70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Dashboard</vt:lpstr>
      <vt:lpstr>Pivot</vt:lpstr>
      <vt:lpstr>Recommendations</vt:lpstr>
      <vt:lpstr>ColumnDescription</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2025-04-12T11:10:11Z</cp:lastPrinted>
  <dcterms:created xsi:type="dcterms:W3CDTF">2025-04-06T11:21:16Z</dcterms:created>
  <dcterms:modified xsi:type="dcterms:W3CDTF">2025-04-14T13:47:19Z</dcterms:modified>
</cp:coreProperties>
</file>